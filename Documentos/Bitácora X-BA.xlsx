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xr:revisionPtr revIDLastSave="0" documentId="8_{1BCA69B0-443C-4387-9BB1-8A0EFE05E772}" xr6:coauthVersionLast="47" xr6:coauthVersionMax="47" xr10:uidLastSave="{00000000-0000-0000-0000-000000000000}"/>
  <bookViews>
    <workbookView xWindow="240" yWindow="105" windowWidth="14805" windowHeight="8010" xr2:uid="{00000000-000D-0000-FFFF-FFFF00000000}"/>
  </bookViews>
  <sheets>
    <sheet name="Incidentes" sheetId="3" r:id="rId1"/>
    <sheet name="Permisos" sheetId="1" r:id="rId2"/>
    <sheet name="Links Utiles" sheetId="5" r:id="rId3"/>
    <sheet name="Instructivos - Documentos" sheetId="6" r:id="rId4"/>
    <sheet name="Solicitudes" sheetId="4" r:id="rId5"/>
  </sheets>
  <definedNames>
    <definedName name="_xlnm._FilterDatabase" localSheetId="0" hidden="1">Incidentes!$A$1:$L$26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<sst xmlns="http://schemas.openxmlformats.org/spreadsheetml/2006/main" count="591" uniqueCount="384">
  <si>
    <t>Fecha del reporte</t>
  </si>
  <si>
    <t>Fecha del incidente</t>
  </si>
  <si>
    <t>Numero NOC</t>
  </si>
  <si>
    <t>Informador</t>
  </si>
  <si>
    <t>Ambiente</t>
  </si>
  <si>
    <t>Titulo</t>
  </si>
  <si>
    <t>Descripción</t>
  </si>
  <si>
    <t>Mensaje de error</t>
  </si>
  <si>
    <t>Resolución</t>
  </si>
  <si>
    <t>Link al NOC</t>
  </si>
  <si>
    <t>Estado</t>
  </si>
  <si>
    <t>Detalles</t>
  </si>
  <si>
    <t>Sin fecha</t>
  </si>
  <si>
    <t>Belen Rodriguez</t>
  </si>
  <si>
    <t>Error en conexión AWS a X-ROAD (SECCO)</t>
  </si>
  <si>
    <t xml:space="preserve">Conexion a AWS con los setvico Webs </t>
  </si>
  <si>
    <t>Para poder consumir correctamente, fue necesario habilitar el routeo del AWS de COMUNICACION hasta el load balancer que está por delante de la API de RC. Posteriormente, el equipo de seguridad informática creó las reglas necesarias para permitir el acceso.</t>
  </si>
  <si>
    <t>https://asijira.buenosaires.gob.ar/browse/APPXROAD-1282</t>
  </si>
  <si>
    <t>Bato</t>
  </si>
  <si>
    <t>HML</t>
  </si>
  <si>
    <t>Error servicio DGAI</t>
  </si>
  <si>
    <t>Al probar el servicio disponibilizado en xroad arroja time out</t>
  </si>
  <si>
    <t>Cerrado</t>
  </si>
  <si>
    <t>PRD</t>
  </si>
  <si>
    <t>Error servicio RIUPP</t>
  </si>
  <si>
    <t xml:space="preserve">Al probar el servicio disponibilizado en xroad PRD arroja error. </t>
  </si>
  <si>
    <t>Se encontró que el problema radicaba en que el sistema no estaba tomando los subsistemas y servicios.</t>
  </si>
  <si>
    <t>Claudio Barattucci / Correo XBA</t>
  </si>
  <si>
    <t xml:space="preserve">Alerta por rápido consumo de espacio libre en memoria de SS HML </t>
  </si>
  <si>
    <t>Estamos notando que se consume muy rápidamente el espacio libre del SS HML Provider, lo cual en los ultimos días generó la necesidad de reiniciarlo, asignarle más espacio, problemas con el PIN, etc.</t>
  </si>
  <si>
    <t>Se levanta noc solicitando reinicio de servidor</t>
  </si>
  <si>
    <t>Workflow (Pablo Aramburu)</t>
  </si>
  <si>
    <t>Error en consumo (esporádico) de getinfo en procesos de WF</t>
  </si>
  <si>
    <t>N/A</t>
  </si>
  <si>
    <t>Bautista Boveda</t>
  </si>
  <si>
    <t>Error en consumo de API tramites backend STD</t>
  </si>
  <si>
    <t xml:space="preserve">Error en consumo de API de Tramites Backend en HML. Se debe a error del servicio, no de XROAD. </t>
  </si>
  <si>
    <t xml:space="preserve">La API arroja error de timeout. </t>
  </si>
  <si>
    <t>Error en reinstalación de servidores (Crear subsistemas)</t>
  </si>
  <si>
    <t>En un Servidor reinstalado no dejaba crear susbtimeas, aparecia solo la palabra "SAVE"</t>
  </si>
  <si>
    <t>Connect to localhost:8443 [localhost/127.0.0.1, localhost/0:0:0:0:0:0:0:1] failed: Conexión rehusada (Connection refused)</t>
  </si>
  <si>
    <t>Reapunte de puertos</t>
  </si>
  <si>
    <t>https://noc-mesa.buenosaires.gob.ar/WorkOrder.do?woMode=viewWO&amp;woID=1246398</t>
  </si>
  <si>
    <t>https://asijira.buenosaires.gob.ar/browse/APPXROAD-1168</t>
  </si>
  <si>
    <t>15/1/25 - 16pm</t>
  </si>
  <si>
    <t>APPXROAD-1285</t>
  </si>
  <si>
    <t>Bautista Bóveda</t>
  </si>
  <si>
    <t>Expiración de Pines de seguridad de la interfaz XROAD</t>
  </si>
  <si>
    <t>Se solicita generación de PIN de seguridad en Servidor de Seguridad del Ministerio de Seguridad XBA, dado que el mismo expiró. xroad-seguridad.buenosaires.gob.ar</t>
  </si>
  <si>
    <t>Se solicitó el restablecimiento del PIN mediante noc https://noc-mesa.buenosaires.gob.ar/WorkOrder.do?woMode=viewWO&amp;woID=1332239</t>
  </si>
  <si>
    <t>Habilitacion de DNS - Educacion</t>
  </si>
  <si>
    <t>Problemas para conectarse, requieren acceso</t>
  </si>
  <si>
    <t>curl: (7) Failed to connect to xroad-educacion.buenosaires.gob.ar port 443: Connection timed out</t>
  </si>
  <si>
    <t>-</t>
  </si>
  <si>
    <t>https://noc-mesa.buenosaires.gob.ar/WorkOrder.do?woMode=viewWO&amp;woID=1335212</t>
  </si>
  <si>
    <t>https://asijira.buenosaires.gob.ar/browse/APPXROAD-1290</t>
  </si>
  <si>
    <t>24/1/25 - 12PM</t>
  </si>
  <si>
    <t>APPGCXROAD-484</t>
  </si>
  <si>
    <t>Gonza Perez</t>
  </si>
  <si>
    <t xml:space="preserve">Error Login AD en PRD </t>
  </si>
  <si>
    <t>Se rerportaron casos aislados de error de parte de usuarios que al momento de ingresar al portal en ambiente PRD no concretan validar su identidad.
Tras un análisis preliminar, se observó que el problema radica cuando se requieran consumir los servicios de validación de credeciales por fuera de la man del gcba. (fuera de la red o sin vpn)</t>
  </si>
  <si>
    <t xml:space="preserve">En proceso </t>
  </si>
  <si>
    <t>27/1/25 - 8.53 am</t>
  </si>
  <si>
    <t>Tomas Gomila</t>
  </si>
  <si>
    <t>Caída de servicio AGIP</t>
  </si>
  <si>
    <t>Levantan error en modulo LOyS. Salta pop up con falla en la integración con el servicio de AGIP por XBA</t>
  </si>
  <si>
    <t>Resuelto. Se comunico a Equipo LOyS y AGIP.</t>
  </si>
  <si>
    <t>30/1/25 - 12.30pm</t>
  </si>
  <si>
    <t>Racine Gonzalez (miBA)</t>
  </si>
  <si>
    <t>Reporte de error en servicio de RCE</t>
  </si>
  <si>
    <t>"Reportan por teams error en servicio
curl --location 'https://xroad-innovacion.buenosaires.gob.ar/r1/edicaba/GOB/017/Prov-Partidas-Prod/Actasnacimiento?numeroDocumento=27497505&amp;tipoDocumento=DNI&amp;sexoDescripcion=Masculino' \
--header 'X-Road-Client: edicaba/GOB/002/Cons-MIBA-Prod' \
--header 'Cookie: BIGipServerS9w4N8UloJi/qbxG8JnlLg=rd1o00000000000000000000ffff0a0a0849o8080'"</t>
  </si>
  <si>
    <t xml:space="preserve">Se identifico que el servicio de nacimiento, matrimonio y defunciones puede llegar a romperse en una consulta cuando la
persona este duplicada en la base de datos
Persona que tenga registros sin cerrar o inconsistentes 
Ya hicieron una limpieza en su momento pero puede haber casos en los que en productivo cuando se consulta no traiga respuesta el servicio (son muy pocos casos pero para que lo tengamos en cuenta)  ya están trabajando en una segunda limpieza desde RCE </t>
  </si>
  <si>
    <t>APPGCXROAD-500</t>
  </si>
  <si>
    <t xml:space="preserve">Banco Ciudad </t>
  </si>
  <si>
    <t xml:space="preserve">Error para poder noectarse, API KEY </t>
  </si>
  <si>
    <t>APPXROAD-1315</t>
  </si>
  <si>
    <t>Error en los servidores- timestamp</t>
  </si>
  <si>
    <t xml:space="preserve">Se reporto desde miba, loys y TAD el error, probamos en los servidores y ninguno respondia, procedimos a chequear el timestamp ya que en varios servidores se lo vio afectado, se pidio a infra el reinicio para ver su conexion </t>
  </si>
  <si>
    <t>https://noc-mesa.buenosaires.gob.ar/WorkOrder.do?woMode=viewWO&amp;woID=1375070</t>
  </si>
  <si>
    <t>Se debio a un error en los servidores con las bases externalizadas</t>
  </si>
  <si>
    <t>APPXROAD-1319</t>
  </si>
  <si>
    <t>Error en Servidores- externalizados</t>
  </si>
  <si>
    <t>Error detectado en los servidores con base de datos externalizada</t>
  </si>
  <si>
    <t>"type": "Server.ClientProxy.InternalError",
    "message": "DatabaseError: Error accessing database (serverconf)",
    "detail": "504e5db5-1b60-4b73-987e-dede6090d554"</t>
  </si>
  <si>
    <t>Si, estaba haciendo unas pruebas con el vacuum y se lleno el filestyste, lo habia liberado pero se ve que se volvio a llenar.
Vamos a tener que aumentar un poco los fs para archivar wals y podes hacer los vacuums de 2 bases que pesan mucho.
Una de ellas como bien sabras es innovacion.</t>
  </si>
  <si>
    <t>https://noc-mesa.buenosaires.gob.ar/WorkOrder.do?woMode=viewWO&amp;woID=1378332</t>
  </si>
  <si>
    <t>Resuelto</t>
  </si>
  <si>
    <t>APPXROAD-1320</t>
  </si>
  <si>
    <t xml:space="preserve">Error al consumir el Servico de Novedades de defunciones </t>
  </si>
  <si>
    <t>Desde el Banco ciudad nos avisan que estan teniendo problemas para poder comsumir el servicio de novedades de defunciones, manualmente pueden hacer la consulta pero cuando lo hacen por url les da un error de certificado.</t>
  </si>
  <si>
    <t>miBA</t>
  </si>
  <si>
    <t>Error en servicio de Licencias (SECAE)</t>
  </si>
  <si>
    <t>Desde miBA reportan error en servicio de licencias. El SS SECAE habia sido externalizado el día anterior. No obstante, no se evidencian indicios de error en Servidor, timestimping y global configuration, estan ok.</t>
  </si>
  <si>
    <t>Tomas Gomila. LOyS</t>
  </si>
  <si>
    <t>Error en servicio AGIP en LOyS.</t>
  </si>
  <si>
    <t>LOyS levanto problema en consumo de servicio de IIBB. Se levantó a AGIP.</t>
  </si>
  <si>
    <t>Era un problema de autenticación de certificados. Se resolvió en el mismo día</t>
  </si>
  <si>
    <t>Lucas Zanoni</t>
  </si>
  <si>
    <t>Errror en servIcios AGIP (IIBB)</t>
  </si>
  <si>
    <t>LOYS</t>
  </si>
  <si>
    <t>Dynform</t>
  </si>
  <si>
    <t>Error en consumo de servicios en HML</t>
  </si>
  <si>
    <t>Levantan error en consumo de servicios de Prov-MIBA-Hml</t>
  </si>
  <si>
    <t>estaba caido el haproxy</t>
  </si>
  <si>
    <t xml:space="preserve">Pedidos de accesos a la VPN </t>
  </si>
  <si>
    <t>Pedidos de accesos para las pruebas en la VNP</t>
  </si>
  <si>
    <t>https://noc-mesa.buenosaires.gob.ar/WorkOrder.do?woMode=viewWO&amp;woID=1407892</t>
  </si>
  <si>
    <t xml:space="preserve">Pedidos de credenciales a un gestor </t>
  </si>
  <si>
    <t>pedido de credenciales para gestor para servidores de HML ( para prd es lo mismo)</t>
  </si>
  <si>
    <t>https://noc-mesa.buenosaires.gob.ar/WorkOrder.do?woMode=viewWO&amp;woID=1447652</t>
  </si>
  <si>
    <t>Varios equipos SECITD</t>
  </si>
  <si>
    <t xml:space="preserve"> Error en autenticación de certificados de X-Road</t>
  </si>
  <si>
    <t>Caída general  debido a error de autenticación de certifciados en todos los servidores productivos</t>
  </si>
  <si>
    <t>En las consolas de X-ROAD de todos los servidores productivos y de HML hay un error del OCSP, que dice que no está respondiendo. El martes pasado ocurrió el mismo error en la mañana y fue reportado en tk https://noc-mesa.buenosaires.gob.ar/WorkOrder.do?woMode=viewWO&amp;woID=1446416</t>
  </si>
  <si>
    <t>Solucionado</t>
  </si>
  <si>
    <t>https://noc-mesa.buenosaires.gob.ar/WorkOrder.do?woMode=viewWO&amp;woID=1448912</t>
  </si>
  <si>
    <t>No se reportó por NOC</t>
  </si>
  <si>
    <t>Julieta Gramajo</t>
  </si>
  <si>
    <t>Error en el servicio registro de graduados</t>
  </si>
  <si>
    <t>Problemas para disponer del servicio mediante X-ROAD</t>
  </si>
  <si>
    <t>Error 500. el mensaje que aparece es un Received fatal alert: handshake_failure</t>
  </si>
  <si>
    <t>Disponibilizacion en el consumer</t>
  </si>
  <si>
    <t>Error en el servicio bibliotecas ?</t>
  </si>
  <si>
    <t>Error de traspaso</t>
  </si>
  <si>
    <t>Error not found</t>
  </si>
  <si>
    <t>Creacion del nuevo subsistema - acceso por fuera de SADE</t>
  </si>
  <si>
    <t>02/09/2025 14hs.</t>
  </si>
  <si>
    <t>Error numero de consultas en servicio Documentos</t>
  </si>
  <si>
    <t xml:space="preserve">Llegada a una cierta cantidad de consultas en simultaneo (se probaron con 100), el servicio arroja error </t>
  </si>
  <si>
    <t>Remote end closed connection without response</t>
  </si>
  <si>
    <t>El servicio se ejecutó mediante un script en python, soportó hasta 90 consultas antes de arrojar error. Cuando se realizó la regresion, el servicio seguia arrojando error, despues de un tiempo esto se normalizó</t>
  </si>
  <si>
    <t>04/09/2025 9hs</t>
  </si>
  <si>
    <t xml:space="preserve">Error en servicio de IIBB. </t>
  </si>
  <si>
    <t>Error de ejecución</t>
  </si>
  <si>
    <t>409 (en postman)</t>
  </si>
  <si>
    <t>08/09/2025 17hs</t>
  </si>
  <si>
    <t xml:space="preserve">Error en servicio Constancia de IIBB. </t>
  </si>
  <si>
    <t>18 de septiembre</t>
  </si>
  <si>
    <t>APPXROAD-1386</t>
  </si>
  <si>
    <t>Error en consumo de API de fallecidos</t>
  </si>
  <si>
    <t>El banco levantó error en producción en el consumo de la API de novedades de fallecidos</t>
  </si>
  <si>
    <t>Errores multiples, mayormente de conexion o de base de datos</t>
  </si>
  <si>
    <t>409, 500 (en postman)</t>
  </si>
  <si>
    <t>Banco Supervielle</t>
  </si>
  <si>
    <t>Habilitación de conexiones desde Banco Ciudad hacia SECTOP - XROAD PRD</t>
  </si>
  <si>
    <t xml:space="preserve">Vinculacion al servidor del Banco ciudad </t>
  </si>
  <si>
    <t>https://noc-mesa.buenosaires.gob.ar/WorkOrder.do?woMode=viewWO&amp;woID=1475238</t>
  </si>
  <si>
    <t>APPXROAD-1392</t>
  </si>
  <si>
    <t>Claudio Barattucci</t>
  </si>
  <si>
    <t>Caída del PROVIDER</t>
  </si>
  <si>
    <t>Caída general del server provider (hml)</t>
  </si>
  <si>
    <t>Caída del PIN (se visualiza en la interfaz)</t>
  </si>
  <si>
    <t>Se realiza cambio de DNS y se soluciona el problema.</t>
  </si>
  <si>
    <t>Mauro Valenzuela</t>
  </si>
  <si>
    <t>Habilitación de conexiones desde MEPHU, JUSTICIA y MDHYH hacia el Banco Ciudad.</t>
  </si>
  <si>
    <t>Los subsistemas de MEPHU, JUSTICIA y MDHXH no estaban pudiendo consumir el servicio de ConsultaCBU del Banco Ciudad.</t>
  </si>
  <si>
    <t>Could not connect to any target host ([https://8.243.10.180:5500/]) (POSTMAN)</t>
  </si>
  <si>
    <t>https://noc-mesa.buenosaires.gob.ar/WorkOrder.do?woMode=viewWO&amp;woID=1487741</t>
  </si>
  <si>
    <t>No resuelto. Se avanza con solicitud de permisos del Banco.</t>
  </si>
  <si>
    <t>Caída general del server provider (hml) / Tenemos nuevamente problemas con el PIN en SS Provider y nos da error de Certificados. Según comentaron en el tkt anterior (1484633) habia problemas de espacio antes de que pida pin y vimos desde monitoreo alertas por este tema.</t>
  </si>
  <si>
    <t>Caída del PIN (se visualiza en la interfaz) / Please enter soft token PIN</t>
  </si>
  <si>
    <t>Desde Infra responden a las pocas horas que el problema fue resuelto, habiendo asignado más espacio. (56 minutos de tiempo de respuesta)</t>
  </si>
  <si>
    <t>https://noc-mesa.buenosaires.gob.ar/WorkOrder.do?woMode=viewWO&amp;woID=1489826</t>
  </si>
  <si>
    <t>Miguel Montenegro</t>
  </si>
  <si>
    <t>Error en servicio de STD para consulta de Carriles Exclusivos</t>
  </si>
  <si>
    <t>miBA informa problema productivo de disponibilización de credenciales en carpeta ciudadana.</t>
  </si>
  <si>
    <t xml:space="preserve">    "type": "Server.ServerProxy.IOError",
    "message": "Read timed out",
    "detail": "ddc4af98-4a87-498e-a420-bf746f7570c8"</t>
  </si>
  <si>
    <t>Se realizaron diversas pruebas en Postman para identificar el origen del error. No se identificó un problema en el consumo de CarrilesExclusivosB, ni en el servicio sin pasar por XBA. Dado que error estaba asociado al time out, se cambio el tiempo de respuesta en el servicio disponibilizado en el serivdor de Transporte. De esa manera funcionó. No obstante, dado que continuaban las consultas masivas del servicio, se decidió, junto a miBA, apagar el servicio en la interfaz (se modificó una letra en la URL del servicio para no apagarlo, dado que es una atribucion del área, pero de esa manera dejó de funcionar).</t>
  </si>
  <si>
    <t>14/11/2025 11:30hs</t>
  </si>
  <si>
    <t>SECCO</t>
  </si>
  <si>
    <t>Error en X-ROAD HML</t>
  </si>
  <si>
    <t>Caída general (hml)</t>
  </si>
  <si>
    <t>Global configuration is expired</t>
  </si>
  <si>
    <t>Se revisaron todos los servidores en hml y se evidenció que todos tenian expirada la configuración global. Se le hizo seguiento al ticket 1507861, solicitando restaurar el PIN del server central.  Algo paso en la vm que hizo que el central se caiga. Infra sostiene que no se toco nada, nada pero el viernes a la mañana ya estaban en el servidor y mi tkt fue después del mediodía. Ya lo sabían, no avisaron y estuvieron reiniciando y quizás reinstalando o haciendo restore. El error puede ser por reinicio incompleto o subir un back viejo que quedó mal. Faltan logs y directorios.</t>
  </si>
  <si>
    <t>https://noc-mesa.buenosaires.gob.ar/WorkOrder.do?woMode=viewWO&amp;woID=1507861</t>
  </si>
  <si>
    <t>13.00</t>
  </si>
  <si>
    <t xml:space="preserve"> APPSADE-69090</t>
  </si>
  <si>
    <t>Tito CADI</t>
  </si>
  <si>
    <t>Error en consulta de API de Deudores Morosos (REGISTROxCUIT)</t>
  </si>
  <si>
    <t>CADI informa inconveniente para consumo de servicio en PRD de deudores morosos. El incoveniente se extiende a todos los servicios que precisan token sade (rlm). Ej: CIOBA.</t>
  </si>
  <si>
    <t>ServiceException: Authorization Header Param not well formed.</t>
  </si>
  <si>
    <t xml:space="preserve">Mismo error que el detectado por el Banco para el connsumo de la API token de sade. </t>
  </si>
  <si>
    <t>Abierto</t>
  </si>
  <si>
    <t>#1512052</t>
  </si>
  <si>
    <t>Matias Acevedo - Ministerio de Cultura</t>
  </si>
  <si>
    <t xml:space="preserve"> Caída de sistema en PRD</t>
  </si>
  <si>
    <t xml:space="preserve">Cultura reportó error al intentar consumir en prd los servicios de renaper y miBA. 
Se ingresó al servidor de innovación y se encontraba reiniciado, solicitando importar el anchor configuration, del servidor central. Se intentó ingresar a otros servidores, pero, despues de unos segundos, saltaba un error 500. 
Se probo en postman y todas las integraciones en PRD fallaban. HML funcionaba OK. </t>
  </si>
  <si>
    <t xml:space="preserve">Desde Cultura se levantó un error en una integración a las 15.30, arrojando un 500, Server Error. </t>
  </si>
  <si>
    <t>Se reportó y escaló el tema a la GO, DG y SSIA. Se levantó ticket informando error y se dirigió a infraestructura (Fede Tuffano).
Tomaron el ticket y a las 2 horas lo comentaron para que probaramos. Se realizó un testeo general del sistema, y estaba resuelto. 
No se cuenta con detalle sobre lo que se modificó o sobre el origen del error.</t>
  </si>
  <si>
    <t>https://noc-mesa.buenosaires.gob.ar/WorkOrder.do?woMode=viewWO&amp;woID=1512052</t>
  </si>
  <si>
    <t>Diego Baumann</t>
  </si>
  <si>
    <t>Error en consumo de servicio en PRD</t>
  </si>
  <si>
    <t xml:space="preserve">Diego comenta error al intentar consumir el servicio de consulta de token de GetToken de SADE en PRD, con las credenciales provistas.Esto afecta el consumo al registro para actualizar la base de registrados y el otorgamiento de subsidios. </t>
  </si>
  <si>
    <t>“https://bcbasv1548:8443/r1/edicaba/GOB/024/Prov-RLM-PRD/GenerarTokenREST”: “{“detail”:”Request inválido. Revise los parámetros enviados.”}”</t>
  </si>
  <si>
    <t xml:space="preserve">El error se debio a una nueva version en sade por la que tuvieron que deshabilitar los cuits alfanumericos correspondientes a los usuarios de servicio, dado que no pasaban el assesement. Se realizó una version fix y se resolvio al dia siguiente. </t>
  </si>
  <si>
    <t>#1519747</t>
  </si>
  <si>
    <t>Error de acceso a los SS y caída de XBA en PRD</t>
  </si>
  <si>
    <t xml:space="preserve">Al ingresar a los SS en PRD arroja el error señalado y al ingresar a Innovación se muestra la pantalla de importar anchor configuration del ss central. No hay problema en HML. </t>
  </si>
  <si>
    <t>{
    "type": "Server.ClientProxy.InternalError",
    "message": "DatabaseError: Error accessing database (serverconf)",
    "detail": "349d6bf5-293c-4a72-8043-52cedf44c8ff"
}</t>
  </si>
  <si>
    <t xml:space="preserve">Desde infra levantan que se llenó la BBDD. 
Dba's revisar la base de datos de xroad 10.20.0.167, se lleno de nuevo el filesystem: 
[root@cloudformsadmin-xroadprod-88ecf5 skroupa]# df -h
S.ficheros                      Tamaño Usados  Disp Uso% Montado en
devtmpfs                          9,7G      0  9,7G   0% /dev
tmpfs                             9,7G      0  9,7G   0% /dev/shm
tmpfs                             9,7G   626M  9,1G   7% /run
tmpfs                             9,7G      0  9,7G   0% /sys/fs/cgroup
/dev/mapper/rhel-root             296G   6,7G  290G   3% /
/dev/sda1                         1,5G   277M  1,3G  19% /boot
/dev/mapper/datos_vg-archive_lv   150G   150G  120K 100% /archive
/dev/mapper/datos_vg-backup_lv    1,5T   176G  1,4T  12% /backup
/dev/mapper/datos_vg-datos_lv     5,0T   4,6T  467G  91% /datos
/dev/mapper/datos_vg-wal_lv       110G   110G  4,6M 100% /wal
</t>
  </si>
  <si>
    <t>https://noc-mesa.buenosaires.gob.ar/WorkOrder.do?woMode=viewWO&amp;woID=1519747</t>
  </si>
  <si>
    <t>Error productivo de uso de servicios</t>
  </si>
  <si>
    <t>Error en consumo de servicio de Token x el BCO Ciudad</t>
  </si>
  <si>
    <t>Lo raro es que para la primera consulta funcionó ok (padrón de estudiantes), pero para la segunda consulta, padrón de jubilados dio error. Usaoms misma url y credenciales.
Tambien funciona el servicio de novedades de defunciones.</t>
  </si>
  <si>
    <t>Caused by: org.springframework.web.client.HttpServerErrorException$InternalServerError: 500 Server Error on POST request for "https://bcbasv1548:8443/r1/edicaba/GOB/024/Prov-RLM-PRD/GenerarTokenREST": "{"type":"Server.ClientProxy.SslAuthenticationFailed","message":"TLS handshake failed","detail":"8409f4bd-2e60-47a6-84ec-c98c8623879d"}"</t>
  </si>
  <si>
    <t xml:space="preserve">Se solicito al Banco notificar resultados del proceso en los horarios que lo corren (19pm)
Finalmente informaron que fue exitoso, no se presentaron errores. </t>
  </si>
  <si>
    <t>Migue Montenegro</t>
  </si>
  <si>
    <t xml:space="preserve">Error en consumo de servicios RLM </t>
  </si>
  <si>
    <t xml:space="preserve">Error en consumo de APIs de RLM en ambientes bajos. El SS esta ok, es un tema del servicio. </t>
  </si>
  <si>
    <t>#1507861 Problema X-ROAD HML - Todos los SS con ERROR Global configuratión es expired</t>
  </si>
  <si>
    <t>#1533196</t>
  </si>
  <si>
    <t>Alertas PRTG</t>
  </si>
  <si>
    <t>Caída PRD</t>
  </si>
  <si>
    <t>Sin espacio libre en disco</t>
  </si>
  <si>
    <t>Error: Request failed with status code 500
ID: d3252331f266aad0</t>
  </si>
  <si>
    <t> </t>
  </si>
  <si>
    <t>DEV</t>
  </si>
  <si>
    <t>Problema con despliegues en Openshift DEV - Portal X-ROAD</t>
  </si>
  <si>
    <t>Problemas con despliegues en Front de Openshift DEV - Proyecto: gestion-catalogo-dev. Revisar pipeline correspondiente.</t>
  </si>
  <si>
    <t>step-exec
+ '[' false == true ']'
+ run_commands 'npm install'
+ cd /workspace/source/gestion-catalogo-xroad-front/source
+ for command in "$@"
+ eval 'npm install'
++ npm install
npm warn deprecated critters@0.0.24: Ownership of Critters has moved to the Nuxt team, who will be maintaining the project going forward. If you'd like to keep using Critters, please switch to the actively-maintained fork at https://github.com/danielroe/beasties
npm error code E401
npm error Unable to authenticate, need: BASIC realm="Sonatype Nexus Repository Manager"
npm error A complete log of this run can be found in: /workspace/source/.npm/_logs/2026-03-04T14_55_12_657Z-debug-0.log
+ '[' false '!=' true ']'
+ exit 1 
https://imgur.com/gDo6xEg
No autentica con nexus</t>
  </si>
  <si>
    <t>Fue solucionado y corrió el pipeline sin errores.
https://imgur.com/0ua6vl4</t>
  </si>
  <si>
    <t>https://noc-mesa.buenosaires.gob.ar/WorkOrder.do?woMode=viewWO&amp;woID=1568067</t>
  </si>
  <si>
    <t>X-ROAD SS RC PRD - Error por PIN</t>
  </si>
  <si>
    <t xml:space="preserve">Se solicita ingresar el PIN correspondiente en SS de RC ya que está dando errores de Certificados por la falta del mismo.
https://imgur.com/vK9Hxii
https://imgur.com/mTzRHeg
</t>
  </si>
  <si>
    <t>En el servidor de seguridad &gt; SIGN and AUTH keys &gt; Error: Please enter soft token PIN
500 Server Error por Postman
Respuesta:
{
  "type": "Server.ClientProxy.SslAuthenticationFailed",
  "message": "Service provider did not send correct authentication certificate",
  "detail": "74f0db43-ef11-4a16-82c6-91b6da0e826f"
}</t>
  </si>
  <si>
    <t>En la imagen se aprecia que el error en cuestión ya no aparece, y por lo tanto fue solucionado.
https://imgur.com/5PQZksb</t>
  </si>
  <si>
    <t>https://noc-mesa.buenosaires.gob.ar/WorkOrder.do?woMode=viewWO&amp;woID=1582722</t>
  </si>
  <si>
    <t>Problema en Login Openid - X-ROAD PRD</t>
  </si>
  <si>
    <t>Problemas al desplegar el Portal de X-ROAD en PRD con el Login Openid Keycloak.
Los parametros utilizados son los mismos que funcionaron en ambientes bajos (DEV/QA/HML) pero en PRD da error al parecer por el SCOPE.
Utilizado y funcionando bien en (DEV/QA/HML):
scope=openid%20dn%20email</t>
  </si>
  <si>
    <t>No funcionaba el Login en Portal PRD.</t>
  </si>
  <si>
    <t xml:space="preserve">Se resolvió cambiando el parametro 
scope=openid%20dn%20email
por
scope=openid%20profile%20email
 </t>
  </si>
  <si>
    <t>https://noc-mesa.buenosaires.gob.ar/WorkOrder.do?woMode=viewWO&amp;woID=1594770</t>
  </si>
  <si>
    <t>Expiro configuración global de TODOS los SS HML</t>
  </si>
  <si>
    <t>Error en todos los SS de HML por “Global configaratión is expired”
De acuerdo al análisis y pruebas realizadas se ve que la configuración que llega desde Server Central está vencida.
Esto ya ocurrió antes en el siguiente tkt que corresponde a: 1507861.</t>
  </si>
  <si>
    <t>Se logueo el pin en el central y quedo funcionando.</t>
  </si>
  <si>
    <t>https://noc-mesa.buenosaires.gob.ar/WorkOrder.do?woMode=viewWO&amp;woID=1599127</t>
  </si>
  <si>
    <t>Expiró el PIN en SS PRD</t>
  </si>
  <si>
    <t>PRD y HML</t>
  </si>
  <si>
    <t>Error 500: 
{
    "type": "Server.ClientProxy.SslAuthenticationFailed",
    "message": "Security server has no valid authentication certificate",
    "detail": "05e10b30-040e-4887-a103-66fa3f28153e"
}</t>
  </si>
  <si>
    <t>Pendiente</t>
  </si>
  <si>
    <t>Error Critico X-ROAD PRD - PIN SS DGRC</t>
  </si>
  <si>
    <t>restaurar el PIN del Servidor de Seguridad de Registro Civil en PRD. 
IP: 10.20.2.42 
DNS: xroad-dgrc.buenosaires.gob.ar
Mismo error de ayer 1601862.
Link: https://noc-mesa.buenosaires.gob.ar/WorkOrder.do?woMode=viewWO&amp;woID=1601862&amp;PORTALID=1</t>
  </si>
  <si>
    <t>https://i.imgur.com/ic55bJ2.png</t>
  </si>
  <si>
    <t>Se reinicio el servicio xroad-signer</t>
  </si>
  <si>
    <t>X-ROAD - Problema en PRD con conexiones desde nuevo SS Consejo de la Magistratura</t>
  </si>
  <si>
    <t>Error con Certificado desde el nuevo SS del Consejo de la Magistratura porque nos está mostrando un Certificado que no corresponde con los del Server Central, SS y/o el MSS.
Problema similar del año pasado con Banco Ciudad à 1480439 [X-ROAD - Problema en PRD con conexiones desde Banco Ciudad / Supervielle a SS de GCBA RC - ERROR]</t>
  </si>
  <si>
    <t>Se creo una excepción en el IPS</t>
  </si>
  <si>
    <t>https://noc-mesa.buenosaires.gob.ar/WorkOrder.do?woMode=viewWO&amp;woID=1603288&amp;PORTALID=1</t>
  </si>
  <si>
    <t>Monitoreo diario</t>
  </si>
  <si>
    <t>Please enter soft token PIN / Signer is not currently reachable. Please check the signer log for details.
ID: fe834f022cd3935b</t>
  </si>
  <si>
    <t>Aprobación de Nuevo SS externo Consejo en X-ROAD PRD</t>
  </si>
  <si>
    <t>Verificar desde el Server Central de PRD la existencia del nuevo SS del Consejo de la Magistratura y lo aprueben desde el menú “Management Request”
Lo mismo se hizo en HML con tkt. 1522622.</t>
  </si>
  <si>
    <t>https://noc-mesa.buenosaires.gob.ar/WorkOrder.do?woMode=viewWO&amp;woID=1611003&amp;PORTALID=1</t>
  </si>
  <si>
    <t>Se aprueba el siguiente:
https://i.imgur.com/1cC5bDq.png</t>
  </si>
  <si>
    <t>QA</t>
  </si>
  <si>
    <t>Error en SS de X-ROAD QA</t>
  </si>
  <si>
    <t>Revisar SS de QA ya que ambos nos dan el mismo error al intentar ingresar a la consola y también al ejecutar servicios desde Postman da error de Certificados.
Ejecutar los siguientes comandos y compartir Logs de SS:
systemctl status xroad-signer
systemctl status xroad-proxy
systemctl status xroad-admin-service
systemctl status postgresql
xroad-signer tokens-list
xroad-signer certs-list
journalctl -u xroad-signer -n 200 --no-pager
journalctl -u xroad-proxy -n 200 --no-pager
journalctl -u xroad-admin-service -n 200 --no-pager</t>
  </si>
  <si>
    <t>Imagenes del error:
https://i.imgur.com/UCPKuIq.png
https://i.imgur.com/HJoERqJ.png
https://i.imgur.com/zqhW6nQ.png</t>
  </si>
  <si>
    <t>https://noc-mesa.buenosaires.gob.ar/WorkOrder.do?woMode=viewWO&amp;woID=1610950&amp;PORTALID=1</t>
  </si>
  <si>
    <t>Error Critico X-ROAD HML - PIN SS</t>
  </si>
  <si>
    <t>Asignar a ASI-INFRA- Administrador de Servidores.
Solicitamos por favor urgente, restaurar el PIN de todos los servidores de Seguridad de X-Road HML. 
IP GOBIERNO: 10.12.1.14
DNS GOBIERNO: https://x-road-hml-provider-api.gcba.gob.ar/#/login
IP EDUCACION: 10.12.1.135
DNS GOBIERNO: https://x-road-hml-consumer-api.gcba.gob.ar/#/login
IP HACIENDA: 10.12.3.29
DNS HACIENDA: https://x-road-hml-hacienda-api.gcba.gob.ar/#/login
IP SALUD: 10.12.3.29
DNS SALUD: https://x-road-hml-salud-api.gcba.gob.ar/#/login
IP APRA: 10.12.3.54
DNS APRA: https://x-road-hml-apra-api.gcba.gob.ar/#/login</t>
  </si>
  <si>
    <t>Please enter soft token PIN</t>
  </si>
  <si>
    <t>https://noc-mesa.buenosaires.gob.ar/WorkOrder.do?woMode=viewWO&amp;woID=1611581&amp;PORTALID=1</t>
  </si>
  <si>
    <t>Persiste el error pero tambien volvió a caer el PROVIDER.</t>
  </si>
  <si>
    <t>TAD</t>
  </si>
  <si>
    <t>Caída de Provider - Error Critico X-ROAD HML PIN SS</t>
  </si>
  <si>
    <t>fecha de solicitud</t>
  </si>
  <si>
    <t>numero_noc</t>
  </si>
  <si>
    <t>informador</t>
  </si>
  <si>
    <t>titulo</t>
  </si>
  <si>
    <t>descripción</t>
  </si>
  <si>
    <t>resolución</t>
  </si>
  <si>
    <t>link_al_noc</t>
  </si>
  <si>
    <t>estado</t>
  </si>
  <si>
    <t>detalles</t>
  </si>
  <si>
    <t>APPXROAD-1197</t>
  </si>
  <si>
    <t>Credenciales para Gestores actualizados</t>
  </si>
  <si>
    <t>Envio de credenciales para usuarios de OM a la interfaz de XROAD</t>
  </si>
  <si>
    <t>N/a</t>
  </si>
  <si>
    <t>En curso</t>
  </si>
  <si>
    <t>Aplica a nuevos casos, blanqueos o reenvio.</t>
  </si>
  <si>
    <t>Canitrot Abril</t>
  </si>
  <si>
    <t>Acceso a logs de PRD - Portal de Gestión de Servicios de Interoperabilidad</t>
  </si>
  <si>
    <t>Solicitud de acceso a logs a los desarrolladores de unitech para identificar error en el login</t>
  </si>
  <si>
    <t>Subida de logs a Kibana</t>
  </si>
  <si>
    <t>https://noc-mesa.buenosaires.gob.ar/WorkOrder.do?woMode=viewWO&amp;woID=1339159#details</t>
  </si>
  <si>
    <t>Aún no encontramos como filtrarlo</t>
  </si>
  <si>
    <t>Blanqueo de Credenciales para UNITECH</t>
  </si>
  <si>
    <t>Solicitud de blanqueo de credenciales vencidas.</t>
  </si>
  <si>
    <t>Iniciado</t>
  </si>
  <si>
    <t>APPXROAD-1470</t>
  </si>
  <si>
    <t>Habilitación de VPN al provider</t>
  </si>
  <si>
    <t>Habilitación de VPN de usuarios externos para llegada al Provider</t>
  </si>
  <si>
    <t xml:space="preserve">Claudio José Barattucci </t>
  </si>
  <si>
    <t>Accesos de usuarios a NOC</t>
  </si>
  <si>
    <t>Acceso a Repositorios X-BA</t>
  </si>
  <si>
    <t>Solicitud de credenciales a consola de servidores PRD de X-Road</t>
  </si>
  <si>
    <t>Habilitar Permisos de Navegación a X-ROAD - HML</t>
  </si>
  <si>
    <t>Habilitación IPs BAC - HML</t>
  </si>
  <si>
    <t>Habilitación de VPN e IPS para servidor de Hacienda</t>
  </si>
  <si>
    <t>Permisos de navegación XROAD PRD - SS Educación</t>
  </si>
  <si>
    <t xml:space="preserve">1573832, 1568342 1561920, </t>
  </si>
  <si>
    <t>Conexión desde el Portal X-Road Openshift HML a SS Externo del Consejo</t>
  </si>
  <si>
    <t>Se solicita habilitar los permisos necesarios para llegar desde el Portal X-Road Openshift HML (Port 80/443)</t>
  </si>
  <si>
    <t>https://noc-mesa.buenosaires.gob.ar/WorkOrder.do?woMode=viewWO&amp;woID=1575244&amp;PORTALID=1</t>
  </si>
  <si>
    <t>Maximiliano Palavecino</t>
  </si>
  <si>
    <t xml:space="preserve"> Permisos de Navegación a X-ROAD - HML </t>
  </si>
  <si>
    <t>Otorgado</t>
  </si>
  <si>
    <t>Solicitud de acceso a IP/HOST</t>
  </si>
  <si>
    <t>Logs Openshift:</t>
  </si>
  <si>
    <t>Utilidades:</t>
  </si>
  <si>
    <t>Logs SS HML</t>
  </si>
  <si>
    <t>Registros PRTG diarios</t>
  </si>
  <si>
    <t>Logs SS PRD</t>
  </si>
  <si>
    <t>Sharepoint Interoperabilidad X-BA</t>
  </si>
  <si>
    <t>Logs SS QA</t>
  </si>
  <si>
    <t>Sharepoint Scripts SQL</t>
  </si>
  <si>
    <t>Logs SS DEV</t>
  </si>
  <si>
    <t>Servidores de Seguridad</t>
  </si>
  <si>
    <t>Logs Portal HML</t>
  </si>
  <si>
    <t>Manual X-BA</t>
  </si>
  <si>
    <t>Despliegues_DGGDA</t>
  </si>
  <si>
    <t>Gestion Catalogo GitLab</t>
  </si>
  <si>
    <t>Mapas:</t>
  </si>
  <si>
    <t>Testing de Portal</t>
  </si>
  <si>
    <t>PRTG CMO</t>
  </si>
  <si>
    <t>Comandos para pruebas SS, SC</t>
  </si>
  <si>
    <t>PRTG MENOS CRITICO</t>
  </si>
  <si>
    <t>Planilla de desarrollos</t>
  </si>
  <si>
    <t>PRTG MAS CRITICO</t>
  </si>
  <si>
    <t>Reporte PRTG e Ingesta (Excel con datos acumulativos)</t>
  </si>
  <si>
    <t>BBDD de XBA - POSTGRE PRD</t>
  </si>
  <si>
    <t>Collections de Postman</t>
  </si>
  <si>
    <t>Portal:</t>
  </si>
  <si>
    <t>PGSI DEV</t>
  </si>
  <si>
    <t>PGSI QA</t>
  </si>
  <si>
    <t>PGSI HML</t>
  </si>
  <si>
    <t>PGSI PRD</t>
  </si>
  <si>
    <t>XBA - Manual.v1. - 2026.pdf</t>
  </si>
  <si>
    <t>Manual de X-BA</t>
  </si>
  <si>
    <t>Instructivo - Actualización de Servidores de Seguridad.pdf</t>
  </si>
  <si>
    <t>Instructivo para upgradear SS. No contempla post-monitoreo</t>
  </si>
  <si>
    <t>Pruebas de conexiones entre SS - SC.docx</t>
  </si>
  <si>
    <t>Comandos para probar conexiones de SS y SC</t>
  </si>
  <si>
    <t>Instalación y requisitos para agregar un Security Server para externos V1.4.pdf</t>
  </si>
  <si>
    <t>Requisitos HW, SW y Instalación del Security Server</t>
  </si>
  <si>
    <t>Efectores - XBA.pdf</t>
  </si>
  <si>
    <t>Configuración Foreing Server Postgresql.pdf</t>
  </si>
  <si>
    <t>Configuración de tabla foranea logrecord para monitoreo</t>
  </si>
  <si>
    <t>ES0901 - Estandar de Desarrollo ASI v6.3.pdf</t>
  </si>
  <si>
    <t>Estandar de Desarrollo ASI v6.3</t>
  </si>
  <si>
    <t>Instructivo - Despliegue de PipelineRun con cambios.pdf</t>
  </si>
  <si>
    <t>Despliegue de PipelineRun con cambios en Redhat (usando branch de gitlab)</t>
  </si>
  <si>
    <t>Gestión de Errores X-Road (CABA).pdf</t>
  </si>
  <si>
    <t>Recopilacion de errores del ecosistema X-ROAD y servicio DeudoresMorosos</t>
  </si>
  <si>
    <t>APPXROAD-1294</t>
  </si>
  <si>
    <t>Creación de Servidor Salud HML</t>
  </si>
  <si>
    <t>n/a</t>
  </si>
  <si>
    <t>#56515 </t>
  </si>
  <si>
    <t xml:space="preserve">Modificacion en Pagina web </t>
  </si>
  <si>
    <t>Cambio de Proyecto de Convenio para ser Organización Miembro</t>
  </si>
  <si>
    <t>Abril Canitrot</t>
  </si>
  <si>
    <t>X-BA - Conexión vía X-Road entre servidores propios y externos - HML</t>
  </si>
  <si>
    <t>Solicitud de conexión para consumir servicios de Banco Ciudad en HML</t>
  </si>
  <si>
    <t>https://noc-mesa.buenosaires.gob.ar/WorkOrder.do?woMode=viewWO&amp;woID=1408359</t>
  </si>
  <si>
    <t>Análisis por Depuración de BD - X-Road PRD</t>
  </si>
  <si>
    <t>Se solicita compartir la configuración /etc/xroad/conf.d/addons/message-log.ini de los SS</t>
  </si>
  <si>
    <t>Solicitud de credenciales para Login con AD en Ambientes bajos</t>
  </si>
  <si>
    <t xml:space="preserve"> Consulta IP´s del Portal X-Road HML para conexión Consejo</t>
  </si>
  <si>
    <t>Se solicita por favor compartir la información de la IP´s correspondientes al Portal de X-ROAD en Openshift HML (gestion-catalogo-xroad-back) ya que es necesario gestionar permisos para conectarlo con el SS del Consejo de la Magistratura.</t>
  </si>
  <si>
    <t>Se informan las ip que pueden corresponder a la aplicacion en el entorno de HML</t>
  </si>
  <si>
    <t>https://noc-mesa.buenosaires.gob.ar/WorkOrder.do?woMode=viewWO&amp;woID=1574961&amp;PORTALID=1</t>
  </si>
  <si>
    <t>Certificados X-ROAD - Consejo Magistratura PRD</t>
  </si>
  <si>
    <t>Se adjuntan Certificados del Consejo que hay que firmar para el Servidor de Seguridad X-Road de PRD.</t>
  </si>
  <si>
    <t>https://noc-mesa.buenosaires.gob.ar/WorkOrder.do?woMode=viewWO&amp;woID=1574571&amp;PORTALID=1</t>
  </si>
  <si>
    <t>Agregar member en Server Central XROAD PRD</t>
  </si>
  <si>
    <t xml:space="preserve">se solicita asignar NOC a ASI-DGINFRA-ADMINISTRACION DE SERVIDORES para crear el Member Class en el Server Central de PRD </t>
  </si>
  <si>
    <t xml:space="preserve">Solicitud de acceso a JIRA </t>
  </si>
  <si>
    <t>Solucionado problema con inicio de sesión</t>
  </si>
  <si>
    <t>https://noc-mesa.buenosaires.gob.ar/WorkOrder.do?woMode=viewWO&amp;woID=1573366&amp;PORTALID=1</t>
  </si>
  <si>
    <t>Solicitud de ejecución de script sql</t>
  </si>
  <si>
    <t>Buenas tardes, cómo están?
Por favor asignar a Grupo ASI-DGINFRA-SOPORTE DBA.
Solicitamos la ejecución de script adjunto en la BBDD de gestion-catalogo en el entorno de PRD
DEL_SERVICIOS.sql → Delete 117 registros
BBDD PRD
host: drpdm01-scan.gcba.gob.ar
nombre: dgisisp.gcba.gob.ar
Desde ya Muchas Gracias!
Saludos</t>
  </si>
  <si>
    <t>Se espera modificar 117 registros.
Se modificaron 117 registros.</t>
  </si>
  <si>
    <t>https://noc-mesa.buenosaires.gob.ar/WorkOrder.do?woMode=viewWO&amp;woID=1597926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</si>
</sst>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font>
      <sz val="11"/>
      <color theme="1"/>
      <name val="Aptos Narrow"/>
      <family val="2"/>
      <scheme val="minor"/>
    </font>
    <font>
      <b/>
      <sz val="10"/>
      <color rgb="FFFFFFFF"/>
      <name val="Arial"/>
    </font>
    <font>
      <u/>
      <sz val="11"/>
      <color theme="10"/>
      <name val="Aptos Narrow"/>
      <family val="2"/>
      <scheme val="minor"/>
    </font>
    <font>
      <sz val="10"/>
      <color rgb="FF000000"/>
      <name val="Times New Roman"/>
      <family val="1"/>
      <charset val="1"/>
    </font>
    <font>
      <sz val="11"/>
      <color rgb="FF000000"/>
      <name val="Aptos Narrow"/>
      <charset val="1"/>
    </font>
    <font>
      <b/>
      <sz val="11"/>
      <color rgb="FFFFFFFF"/>
      <name val="Arial"/>
    </font>
    <font>
      <b/>
      <sz val="11"/>
      <color theme="1"/>
      <name val="Aptos Narrow"/>
      <family val="2"/>
      <scheme val="minor"/>
    </font>
    <font>
      <sz val="11"/>
      <color theme="1"/>
      <name val="-Apple-System"/>
      <charset val="1"/>
    </font>
    <font>
      <b/>
      <sz val="11"/>
      <color theme="1"/>
      <name val="Arial"/>
    </font>
    <font>
      <u/>
      <sz val="11"/>
      <color theme="10"/>
      <name val="Arial"/>
    </font>
    <font>
      <sz val="11"/>
      <color theme="1"/>
      <name val="Arial"/>
    </font>
    <font>
      <sz val="11"/>
      <color rgb="FF211E1E"/>
      <name val="Aptos Narrow"/>
      <scheme val="minor"/>
    </font>
    <font>
      <sz val="10"/>
      <color rgb="FF000000"/>
      <name val="Segoe UI"/>
      <charset val="1"/>
    </font>
    <font>
      <sz val="12"/>
      <color rgb="FF242424"/>
      <name val="Segoe UI"/>
      <charset val="1"/>
    </font>
    <font>
      <u/>
      <sz val="12"/>
      <color theme="10"/>
      <name val="Aptos Narrow"/>
      <scheme val="minor"/>
    </font>
    <font>
      <sz val="12"/>
      <color theme="1"/>
      <name val="Aptos Narrow"/>
      <scheme val="minor"/>
    </font>
    <font>
      <u/>
      <sz val="12"/>
      <color theme="10"/>
      <name val="Aptos Narrow"/>
      <family val="2"/>
      <scheme val="minor"/>
    </font>
  </fonts>
  <fills count="6">
    <fill>
      <patternFill patternType="none"/>
    </fill>
    <fill>
      <patternFill patternType="gray125"/>
    </fill>
    <fill>
      <patternFill patternType="solid">
        <fgColor theme="3" tint="0.249977111117893"/>
        <bgColor indexed="64"/>
      </patternFill>
    </fill>
    <fill>
      <patternFill patternType="solid">
        <fgColor rgb="FFFFFF00"/>
        <bgColor indexed="64"/>
      </patternFill>
    </fill>
    <fill>
      <patternFill patternType="solid">
        <fgColor theme="2"/>
        <bgColor indexed="64"/>
      </patternFill>
    </fill>
    <fill>
      <patternFill patternType="solid">
        <fgColor rgb="FFFFFFFF"/>
        <bgColor indexed="64"/>
      </patternFill>
    </fill>
  </fills>
  <borders count="2">
    <border>
      <left/>
      <right/>
      <top/>
      <bottom/>
      <diagonal/>
    </border>
    <border>
      <left/>
      <right style="thick">
        <color rgb="FF000000"/>
      </right>
      <top/>
      <bottom/>
      <diagonal/>
    </border>
  </borders>
  <cellStyleXfs count="2">
    <xf numFmtId="0" fontId="0" fillId="0" borderId="0"/>
    <xf numFmtId="0" fontId="2" fillId="0" borderId="0" applyNumberFormat="0" applyFill="0" applyBorder="0" applyAlignment="0" applyProtection="0"/>
  </cellStyleXfs>
  <cellXfs count="74">
    <xf numFmtId="0" fontId="0" fillId="0" borderId="0" xfId="0"/>
    <xf numFmtId="0" fontId="1" fillId="2" borderId="0" xfId="0" applyFont="1" applyFill="1" applyAlignment="1">
      <alignment horizontal="center"/>
    </xf>
    <xf numFmtId="0" fontId="0" fillId="0" borderId="0" xfId="0" applyAlignment="1">
      <alignment horizontal="center"/>
    </xf>
    <xf numFmtId="0" fontId="2" fillId="0" borderId="0" xfId="1"/>
    <xf numFmtId="14" fontId="0" fillId="0" borderId="0" xfId="0" applyNumberFormat="1" applyAlignment="1">
      <alignment horizontal="center"/>
    </xf>
    <xf numFmtId="164" fontId="1" fillId="2" borderId="0" xfId="0" applyNumberFormat="1" applyFont="1" applyFill="1" applyAlignment="1">
      <alignment horizontal="center"/>
    </xf>
    <xf numFmtId="164" fontId="0" fillId="0" borderId="0" xfId="0" applyNumberFormat="1"/>
    <xf numFmtId="14" fontId="0" fillId="3" borderId="0" xfId="0" applyNumberFormat="1" applyFill="1" applyAlignment="1">
      <alignment horizontal="center"/>
    </xf>
    <xf numFmtId="0" fontId="0" fillId="3" borderId="0" xfId="0" applyFill="1"/>
    <xf numFmtId="0" fontId="0" fillId="3" borderId="0" xfId="0" applyFill="1" applyAlignment="1">
      <alignment horizontal="center"/>
    </xf>
    <xf numFmtId="0" fontId="2" fillId="3" borderId="0" xfId="1" applyFill="1"/>
    <xf numFmtId="0" fontId="2" fillId="0" borderId="0" xfId="1" applyFill="1" applyAlignment="1">
      <alignment wrapText="1"/>
    </xf>
    <xf numFmtId="0" fontId="2" fillId="0" borderId="0" xfId="1" applyFill="1" applyAlignment="1">
      <alignment vertical="top" wrapText="1"/>
    </xf>
    <xf numFmtId="0" fontId="0" fillId="0" borderId="0" xfId="0" applyAlignment="1">
      <alignment horizontal="left" vertical="top"/>
    </xf>
    <xf numFmtId="0" fontId="5" fillId="2" borderId="0" xfId="0" applyFont="1" applyFill="1" applyAlignment="1">
      <alignment horizontal="center"/>
    </xf>
    <xf numFmtId="0" fontId="6" fillId="0" borderId="0" xfId="0" applyFont="1" applyAlignment="1">
      <alignment vertical="center"/>
    </xf>
    <xf numFmtId="164" fontId="5" fillId="2" borderId="0" xfId="0" applyNumberFormat="1" applyFont="1" applyFill="1" applyAlignment="1">
      <alignment horizontal="center"/>
    </xf>
    <xf numFmtId="164" fontId="2" fillId="0" borderId="0" xfId="1" applyNumberFormat="1" applyFill="1" applyAlignment="1">
      <alignment horizontal="center" vertical="center" wrapText="1"/>
    </xf>
    <xf numFmtId="0" fontId="2" fillId="0" borderId="0" xfId="1" applyFill="1" applyAlignment="1">
      <alignment horizontal="center" vertical="center" wrapText="1"/>
    </xf>
    <xf numFmtId="0" fontId="0" fillId="0" borderId="0" xfId="0" applyAlignment="1">
      <alignment horizontal="center" vertical="center"/>
    </xf>
    <xf numFmtId="0" fontId="0" fillId="0" borderId="0" xfId="0" applyAlignment="1">
      <alignment horizontal="left" vertical="top" wrapText="1"/>
    </xf>
    <xf numFmtId="164" fontId="0" fillId="0" borderId="0" xfId="0" applyNumberFormat="1" applyAlignment="1">
      <alignment horizontal="center" vertical="center"/>
    </xf>
    <xf numFmtId="0" fontId="2" fillId="0" borderId="0" xfId="1" applyFill="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vertical="top"/>
    </xf>
    <xf numFmtId="164" fontId="0" fillId="0" borderId="0" xfId="0" applyNumberFormat="1" applyAlignment="1">
      <alignment horizontal="center" vertical="center" wrapText="1"/>
    </xf>
    <xf numFmtId="0" fontId="0" fillId="0" borderId="0" xfId="0" applyAlignment="1">
      <alignment horizontal="center" vertical="top"/>
    </xf>
    <xf numFmtId="0" fontId="2" fillId="0" borderId="0" xfId="1" applyFill="1" applyAlignment="1">
      <alignment horizontal="center" vertical="top" wrapText="1"/>
    </xf>
    <xf numFmtId="0" fontId="0" fillId="0" borderId="0" xfId="0" applyAlignment="1">
      <alignment horizontal="left" vertical="center"/>
    </xf>
    <xf numFmtId="0" fontId="2" fillId="0" borderId="0" xfId="1" applyAlignment="1">
      <alignment wrapText="1"/>
    </xf>
    <xf numFmtId="49" fontId="0" fillId="4" borderId="1" xfId="0" applyNumberFormat="1" applyFill="1" applyBorder="1" applyAlignment="1">
      <alignment horizontal="center" vertical="center"/>
    </xf>
    <xf numFmtId="14" fontId="0" fillId="0" borderId="1" xfId="0" applyNumberFormat="1" applyBorder="1" applyAlignment="1">
      <alignment horizontal="center" vertical="center"/>
    </xf>
    <xf numFmtId="14" fontId="0" fillId="0" borderId="1" xfId="0" applyNumberFormat="1" applyBorder="1" applyAlignment="1">
      <alignment horizontal="center" vertical="center" wrapText="1"/>
    </xf>
    <xf numFmtId="20" fontId="0" fillId="0" borderId="1" xfId="0" applyNumberFormat="1" applyBorder="1" applyAlignment="1">
      <alignment horizontal="center" vertical="center"/>
    </xf>
    <xf numFmtId="0" fontId="0" fillId="0" borderId="1" xfId="0" applyBorder="1" applyAlignment="1">
      <alignment horizontal="center" vertical="center"/>
    </xf>
    <xf numFmtId="0" fontId="2" fillId="0" borderId="1" xfId="1" applyFill="1" applyBorder="1" applyAlignment="1">
      <alignment horizontal="center" vertical="center"/>
    </xf>
    <xf numFmtId="0" fontId="2" fillId="0" borderId="1" xfId="1" applyFill="1"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center" vertical="center"/>
    </xf>
    <xf numFmtId="0" fontId="2" fillId="0" borderId="1" xfId="1" applyFill="1" applyBorder="1" applyAlignment="1">
      <alignment vertical="center" wrapText="1"/>
    </xf>
    <xf numFmtId="0" fontId="0" fillId="0" borderId="1" xfId="0" applyBorder="1" applyAlignment="1">
      <alignment vertical="center"/>
    </xf>
    <xf numFmtId="0" fontId="4" fillId="0" borderId="1" xfId="0" applyFont="1" applyBorder="1" applyAlignment="1">
      <alignmen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vertical="top"/>
    </xf>
    <xf numFmtId="0" fontId="0" fillId="0" borderId="1" xfId="0" applyBorder="1" applyAlignment="1">
      <alignment horizontal="left" vertical="top"/>
    </xf>
    <xf numFmtId="0" fontId="0" fillId="0" borderId="1" xfId="0" applyBorder="1" applyAlignment="1">
      <alignment horizontal="center" vertical="top"/>
    </xf>
    <xf numFmtId="0" fontId="2" fillId="0" borderId="1" xfId="1" applyFill="1" applyBorder="1" applyAlignment="1">
      <alignment vertical="top"/>
    </xf>
    <xf numFmtId="0" fontId="2" fillId="0" borderId="1" xfId="1" applyFill="1" applyBorder="1" applyAlignment="1">
      <alignment horizontal="left" vertical="top"/>
    </xf>
    <xf numFmtId="0" fontId="0" fillId="0" borderId="1" xfId="0" applyBorder="1" applyAlignment="1">
      <alignment vertical="top" wrapText="1"/>
    </xf>
    <xf numFmtId="0" fontId="2" fillId="0" borderId="1" xfId="1" applyFill="1" applyBorder="1" applyAlignment="1">
      <alignment vertical="top" wrapText="1"/>
    </xf>
    <xf numFmtId="0" fontId="7" fillId="0" borderId="1" xfId="0" applyFont="1" applyBorder="1"/>
    <xf numFmtId="0" fontId="2" fillId="0" borderId="1" xfId="1" applyBorder="1" applyAlignment="1">
      <alignment vertical="top" wrapText="1"/>
    </xf>
    <xf numFmtId="0" fontId="2" fillId="0" borderId="1" xfId="1" applyFill="1" applyBorder="1" applyAlignment="1">
      <alignment horizontal="left" vertical="top" wrapText="1"/>
    </xf>
    <xf numFmtId="0" fontId="0" fillId="0" borderId="1" xfId="0" applyBorder="1" applyAlignment="1">
      <alignment horizontal="left" vertical="top" wrapText="1"/>
    </xf>
    <xf numFmtId="14" fontId="5" fillId="2" borderId="0" xfId="0" applyNumberFormat="1" applyFont="1" applyFill="1" applyAlignment="1">
      <alignment horizontal="center" vertical="center"/>
    </xf>
    <xf numFmtId="0" fontId="5" fillId="2" borderId="0" xfId="0" applyFont="1" applyFill="1" applyAlignment="1">
      <alignment horizontal="center" vertical="center"/>
    </xf>
    <xf numFmtId="14" fontId="0" fillId="0" borderId="0" xfId="0" applyNumberFormat="1"/>
    <xf numFmtId="0" fontId="0" fillId="0" borderId="0" xfId="0" applyAlignment="1">
      <alignment horizontal="left" vertical="center" wrapText="1"/>
    </xf>
    <xf numFmtId="0" fontId="2" fillId="0" borderId="0" xfId="1" applyBorder="1"/>
    <xf numFmtId="0" fontId="8" fillId="0" borderId="0" xfId="0" applyFont="1"/>
    <xf numFmtId="0" fontId="9" fillId="0" borderId="0" xfId="1" applyFont="1"/>
    <xf numFmtId="0" fontId="10" fillId="0" borderId="0" xfId="0" applyFont="1"/>
    <xf numFmtId="0" fontId="0" fillId="0" borderId="1" xfId="0" applyBorder="1"/>
    <xf numFmtId="0" fontId="2" fillId="0" borderId="1" xfId="1" applyBorder="1" applyAlignment="1">
      <alignment vertical="top"/>
    </xf>
    <xf numFmtId="21" fontId="0" fillId="0" borderId="1" xfId="0" applyNumberFormat="1" applyBorder="1" applyAlignment="1">
      <alignment horizontal="center" vertical="center"/>
    </xf>
    <xf numFmtId="22" fontId="0" fillId="0" borderId="1" xfId="0" applyNumberFormat="1" applyBorder="1" applyAlignment="1">
      <alignment horizontal="center" vertical="center"/>
    </xf>
    <xf numFmtId="0" fontId="12" fillId="5" borderId="0" xfId="0" applyFont="1" applyFill="1" applyAlignment="1">
      <alignment horizontal="left" vertical="top"/>
    </xf>
    <xf numFmtId="0" fontId="11" fillId="0" borderId="0" xfId="0" applyFont="1"/>
    <xf numFmtId="0" fontId="13" fillId="0" borderId="1" xfId="0" applyFont="1" applyBorder="1" applyAlignment="1">
      <alignment horizontal="center" vertical="center"/>
    </xf>
    <xf numFmtId="0" fontId="14" fillId="0" borderId="0" xfId="1" applyFont="1"/>
    <xf numFmtId="0" fontId="15" fillId="0" borderId="0" xfId="0" applyFont="1"/>
    <xf numFmtId="0" fontId="16" fillId="0" borderId="0" xfId="1" applyFont="1"/>
  </cellXfs>
  <cellStyles count="2">
    <cellStyle name="Hyperlink" xfId="1" xr:uid="{00000000-000B-0000-0000-000008000000}"/>
    <cellStyle name="Normal" xfId="0" builtinId="0"/>
  </cellStyles>
  <dxfs count="40">
    <dxf>
      <fill>
        <patternFill patternType="none"/>
      </fill>
    </dxf>
    <dxf>
      <fill>
        <patternFill patternType="none"/>
      </fill>
      <alignment horizontal="left" vertical="center"/>
    </dxf>
    <dxf>
      <fill>
        <patternFill patternType="none"/>
      </fill>
    </dxf>
    <dxf>
      <fill>
        <patternFill patternType="none"/>
      </fill>
      <alignment horizontal="left" vertical="top" textRotation="0" wrapText="1" indent="0" justifyLastLine="0" shrinkToFit="0" readingOrder="0"/>
    </dxf>
    <dxf>
      <fill>
        <patternFill patternType="none"/>
      </fill>
      <alignment horizontal="left" vertical="top" textRotation="0" wrapText="1" indent="0" justifyLastLine="0" shrinkToFit="0" readingOrder="0"/>
    </dxf>
    <dxf>
      <fill>
        <patternFill patternType="none"/>
      </fill>
      <alignment horizontal="left" vertical="top" textRotation="0" wrapText="1" indent="0" justifyLastLine="0" shrinkToFit="0" readingOrder="0"/>
    </dxf>
    <dxf>
      <fill>
        <patternFill patternType="none"/>
      </fill>
      <alignment horizontal="center" vertical="center" textRotation="0" wrapText="0" indent="0" justifyLastLine="0" shrinkToFit="0" readingOrder="0"/>
    </dxf>
    <dxf>
      <fill>
        <patternFill patternType="none"/>
      </fill>
      <alignment horizontal="center" vertical="center"/>
    </dxf>
    <dxf>
      <fill>
        <patternFill patternType="none"/>
      </fill>
      <alignment horizontal="center" vertical="center"/>
    </dxf>
    <dxf>
      <fill>
        <patternFill patternType="none"/>
      </fill>
    </dxf>
    <dxf>
      <font>
        <b/>
        <i val="0"/>
        <strike val="0"/>
        <condense val="0"/>
        <extend val="0"/>
        <outline val="0"/>
        <shadow val="0"/>
        <u val="none"/>
        <vertAlign val="baseline"/>
        <sz val="11"/>
        <color rgb="FFFFFFFF"/>
        <name val="Arial"/>
        <scheme val="none"/>
      </font>
      <fill>
        <patternFill patternType="solid">
          <fgColor indexed="64"/>
          <bgColor theme="3" tint="0.249977111117893"/>
        </patternFill>
      </fill>
      <alignment horizontal="center" vertical="bottom" textRotation="0" wrapText="0" indent="0" justifyLastLine="0" shrinkToFit="0" readingOrder="0"/>
    </dxf>
    <dxf>
      <font>
        <sz val="12"/>
        <name val="Aptos Narrow"/>
        <scheme val="minor"/>
      </font>
    </dxf>
    <dxf>
      <font>
        <sz val="12"/>
        <name val="Aptos Narrow"/>
        <scheme val="minor"/>
      </font>
    </dxf>
    <dxf>
      <font>
        <sz val="12"/>
        <name val="Aptos Narrow"/>
        <scheme val="minor"/>
      </font>
    </dxf>
    <dxf>
      <fill>
        <patternFill patternType="none"/>
      </fill>
    </dxf>
    <dxf>
      <fill>
        <patternFill patternType="none"/>
      </fill>
      <alignment horizontal="center" vertical="center" textRotation="0" wrapText="0" indent="0" justifyLastLine="0" shrinkToFit="0" readingOrder="0"/>
    </dxf>
    <dxf>
      <fill>
        <patternFill patternType="none"/>
      </fill>
      <alignment vertical="top"/>
    </dxf>
    <dxf>
      <fill>
        <patternFill patternType="none"/>
      </fill>
      <alignment horizontal="left" vertical="top" textRotation="0" wrapText="0" indent="0" justifyLastLine="0" shrinkToFit="0" readingOrder="0"/>
    </dxf>
    <dxf>
      <fill>
        <patternFill patternType="none"/>
      </fill>
      <alignment horizontal="left" vertical="top" textRotation="0" wrapText="1" indent="0" justifyLastLine="0" shrinkToFit="0" readingOrder="0"/>
    </dxf>
    <dxf>
      <fill>
        <patternFill patternType="none"/>
      </fill>
      <alignment horizontal="left" vertical="top" textRotation="0" wrapText="1" indent="0" justifyLastLine="0" shrinkToFit="0" readingOrder="0"/>
    </dxf>
    <dxf>
      <fill>
        <patternFill patternType="none"/>
      </fill>
      <alignment horizontal="center" vertical="center" textRotation="0" wrapText="0" indent="0" justifyLastLine="0" shrinkToFit="0" readingOrder="0"/>
    </dxf>
    <dxf>
      <fill>
        <patternFill patternType="none"/>
      </fill>
      <alignment horizontal="center" vertical="center" textRotation="0" wrapText="0" indent="0" justifyLastLine="0" shrinkToFit="0" readingOrder="0"/>
    </dxf>
    <dxf>
      <numFmt numFmtId="164" formatCode="yyyy\-mm\-dd;@"/>
      <fill>
        <patternFill patternType="none"/>
      </fill>
      <alignment horizontal="center" vertical="center" textRotation="0" wrapText="0" indent="0" justifyLastLine="0" shrinkToFit="0" readingOrder="0"/>
    </dxf>
    <dxf>
      <fill>
        <patternFill patternType="none"/>
      </fill>
    </dxf>
    <dxf>
      <font>
        <b/>
        <i val="0"/>
        <strike val="0"/>
        <condense val="0"/>
        <extend val="0"/>
        <outline val="0"/>
        <shadow val="0"/>
        <u val="none"/>
        <vertAlign val="baseline"/>
        <sz val="10"/>
        <color rgb="FFFFFFFF"/>
        <name val="Arial"/>
        <scheme val="none"/>
      </font>
      <fill>
        <patternFill patternType="solid">
          <fgColor indexed="64"/>
          <bgColor theme="3" tint="0.249977111117893"/>
        </patternFill>
      </fill>
      <alignment horizontal="center" vertical="bottom" textRotation="0" wrapText="0" indent="0" justifyLastLine="0" shrinkToFit="0" readingOrder="0"/>
    </dxf>
    <dxf>
      <fill>
        <patternFill patternType="none"/>
      </fill>
      <alignment horizontal="left" vertical="top" textRotation="0" wrapText="1" indent="0" justifyLastLine="0" shrinkToFit="0" readingOrder="0"/>
      <border>
        <right style="thick">
          <color rgb="FF000000"/>
        </right>
      </border>
    </dxf>
    <dxf>
      <fill>
        <patternFill patternType="none"/>
      </fill>
      <alignment horizontal="center" vertical="center" textRotation="0" wrapText="1" indent="0" justifyLastLine="0" shrinkToFit="0" readingOrder="0"/>
      <border>
        <right style="thick">
          <color rgb="FF000000"/>
        </right>
      </border>
    </dxf>
    <dxf>
      <fill>
        <patternFill patternType="none"/>
      </fill>
      <alignment horizontal="general" vertical="top" textRotation="0" wrapText="1" indent="0" justifyLastLine="0" shrinkToFit="0" readingOrder="0"/>
      <border>
        <right style="thick">
          <color rgb="FF000000"/>
        </right>
      </border>
    </dxf>
    <dxf>
      <fill>
        <patternFill patternType="none"/>
      </fill>
      <alignment horizontal="left" vertical="top" textRotation="0" wrapText="0" indent="0" justifyLastLine="0" shrinkToFit="0" readingOrder="0"/>
      <border>
        <right style="thick">
          <color rgb="FF000000"/>
        </right>
      </border>
    </dxf>
    <dxf>
      <fill>
        <patternFill patternType="none"/>
      </fill>
      <alignment horizontal="general" vertical="top" textRotation="0" wrapText="0" indent="0" justifyLastLine="0" shrinkToFit="0" readingOrder="0"/>
      <border>
        <right style="thick">
          <color rgb="FF000000"/>
        </right>
      </border>
    </dxf>
    <dxf>
      <fill>
        <patternFill patternType="none"/>
      </fill>
      <alignment horizontal="general" vertical="top" textRotation="0" wrapText="0" indent="0" justifyLastLine="0" shrinkToFit="0" readingOrder="0"/>
      <border>
        <right style="thick">
          <color rgb="FF000000"/>
        </right>
      </border>
    </dxf>
    <dxf>
      <fill>
        <patternFill patternType="none"/>
      </fill>
      <alignment horizontal="left" vertical="center" textRotation="0" wrapText="1" indent="0" justifyLastLine="0" shrinkToFit="0" readingOrder="0"/>
      <border>
        <right style="thick">
          <color rgb="FF000000"/>
        </right>
      </border>
    </dxf>
    <dxf>
      <fill>
        <patternFill patternType="none"/>
      </fill>
      <alignment horizontal="center" vertical="center" textRotation="0" wrapText="0" indent="0" justifyLastLine="0" shrinkToFit="0" readingOrder="0"/>
      <border>
        <right style="thick">
          <color rgb="FF000000"/>
        </right>
      </border>
    </dxf>
    <dxf>
      <fill>
        <patternFill patternType="none"/>
      </fill>
      <alignment horizontal="center" vertical="center" textRotation="0" wrapText="0" indent="0" justifyLastLine="0" shrinkToFit="0" readingOrder="0"/>
      <border>
        <right style="thick">
          <color rgb="FF000000"/>
        </right>
      </border>
    </dxf>
    <dxf>
      <fill>
        <patternFill patternType="none"/>
      </fill>
      <alignment horizontal="center" vertical="center" textRotation="0" wrapText="0" indent="0" justifyLastLine="0" shrinkToFit="0" readingOrder="0"/>
      <border>
        <right style="thick">
          <color rgb="FF000000"/>
        </right>
      </border>
    </dxf>
    <dxf>
      <numFmt numFmtId="25" formatCode="h:mm"/>
      <fill>
        <patternFill patternType="none"/>
      </fill>
      <alignment horizontal="center" vertical="center" textRotation="0" wrapText="0" indent="0" justifyLastLine="0" shrinkToFit="0" readingOrder="0"/>
      <border>
        <right style="thick">
          <color rgb="FF000000"/>
        </right>
      </border>
    </dxf>
    <dxf>
      <numFmt numFmtId="19" formatCode="dd/mm/yyyy"/>
      <fill>
        <patternFill patternType="none"/>
      </fill>
      <alignment horizontal="center" vertical="center" textRotation="0" wrapText="0" indent="0" justifyLastLine="0" shrinkToFit="0" readingOrder="0"/>
      <border>
        <right style="thick">
          <color rgb="FF000000"/>
        </right>
      </border>
    </dxf>
    <dxf>
      <fill>
        <patternFill patternType="solid">
          <fgColor rgb="FFE8E8E8"/>
          <bgColor indexed="65"/>
        </patternFill>
      </fill>
    </dxf>
    <dxf>
      <fill>
        <patternFill patternType="none"/>
      </fill>
    </dxf>
    <dxf>
      <font>
        <b/>
        <i val="0"/>
        <strike val="0"/>
        <condense val="0"/>
        <extend val="0"/>
        <outline val="0"/>
        <shadow val="0"/>
        <u val="none"/>
        <vertAlign val="baseline"/>
        <sz val="11"/>
        <color rgb="FFFFFFFF"/>
        <name val="Arial"/>
        <scheme val="none"/>
      </font>
      <fill>
        <patternFill patternType="solid">
          <fgColor indexed="64"/>
          <bgColor theme="3" tint="0.249977111117893"/>
        </patternFill>
      </fill>
      <alignment horizontal="center"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A91A0A-C615-4DC1-8C61-18F549DD8C25}" name="Tabla3" displayName="Tabla3" ref="A1:L63" totalsRowShown="0" headerRowDxfId="39" dataDxfId="38">
  <autoFilter ref="A1:L63" xr:uid="{E8A91A0A-C615-4DC1-8C61-18F549DD8C2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sortState xmlns:xlrd2="http://schemas.microsoft.com/office/spreadsheetml/2017/richdata2" ref="A2:L53">
    <sortCondition sortBy="cellColor" ref="A2:A52" dxfId="37"/>
    <sortCondition ref="A2:A52"/>
  </sortState>
  <tableColumns count="12">
    <tableColumn id="1" xr3:uid="{03C65565-3BFE-4E81-82EA-FC8A611EBDA2}" name="Fecha del reporte" dataDxfId="36"/>
    <tableColumn id="2" xr3:uid="{495B5423-07B9-452B-A9AD-A3797A29E48F}" name="Fecha del incidente" dataDxfId="35"/>
    <tableColumn id="3" xr3:uid="{03C02F42-CDD6-46FA-B8BE-3F2C2EB9FAF8}" name="Numero NOC" dataDxfId="34"/>
    <tableColumn id="4" xr3:uid="{26ACF3F4-FC70-4FF8-BBEE-160E0B84ED1A}" name="Informador" dataDxfId="33"/>
    <tableColumn id="5" xr3:uid="{DCFD1A62-B59F-43C1-9EE1-543F1F1920F2}" name="Ambiente" dataDxfId="32"/>
    <tableColumn id="6" xr3:uid="{21AA578F-8E36-4C10-9348-029212833835}" name="Titulo" dataDxfId="31"/>
    <tableColumn id="7" xr3:uid="{91C6C084-E7BA-43D1-B907-BD5C659AECC8}" name="Descripción" dataDxfId="30"/>
    <tableColumn id="8" xr3:uid="{759D6E8E-6D79-4EB7-8E79-6F1B93A09EA4}" name="Mensaje de error" dataDxfId="29"/>
    <tableColumn id="9" xr3:uid="{6EB406F0-9D82-4252-9639-B0622B05AEBA}" name="Resolución" dataDxfId="28"/>
    <tableColumn id="10" xr3:uid="{FA0C39D2-F45E-4676-A5F7-8FD3832C52F1}" name="Link al NOC" dataDxfId="27"/>
    <tableColumn id="11" xr3:uid="{05E3730D-5955-4388-BE4F-83CB822DA1F7}" name="Estado" dataDxfId="26"/>
    <tableColumn id="12" xr3:uid="{4B3E983F-BC80-4616-B61C-FA9DE5DCB04C}" name="Detalles" dataDxfId="25"/>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1FB934-2B57-49C6-9124-C96CCC1F7865}" name="Tabla2" displayName="Tabla2" ref="A1:I16" totalsRowShown="0" headerRowDxfId="24" dataDxfId="23">
  <autoFilter ref="A1:I16" xr:uid="{CF1FB934-2B57-49C6-9124-C96CCC1F7865}"/>
  <tableColumns count="9">
    <tableColumn id="1" xr3:uid="{1F29CD7F-3E5B-4D5D-9AA9-7B8BCA424DFA}" name="fecha de solicitud" dataDxfId="22"/>
    <tableColumn id="2" xr3:uid="{816139E1-8F3A-414D-A70E-4ED633ED6C79}" name="numero_noc" dataDxfId="21"/>
    <tableColumn id="3" xr3:uid="{507BEF6B-F4D8-41B1-9DD6-D849A128521A}" name="informador" dataDxfId="20"/>
    <tableColumn id="4" xr3:uid="{94C3925C-EF18-4E29-A862-9328BFE39CC6}" name="titulo" dataDxfId="19"/>
    <tableColumn id="5" xr3:uid="{600C19EF-64AB-44AB-A7A9-AE048665C4F4}" name="descripción" dataDxfId="18"/>
    <tableColumn id="6" xr3:uid="{48BA6FDF-97DC-4F37-A6DC-80D241ADC4AA}" name="resolución" dataDxfId="17"/>
    <tableColumn id="7" xr3:uid="{3F269AC8-DBCD-46DC-860C-3E084131B1B4}" name="link_al_noc" dataDxfId="16"/>
    <tableColumn id="8" xr3:uid="{E11B3FC7-C196-490A-88CE-8BD2961CE14B}" name="estado" dataDxfId="15"/>
    <tableColumn id="9" xr3:uid="{3681810E-B6B3-4D4B-A395-792BA1A23EF7}" name="detalles" dataDxfId="14"/>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B06526-AD7C-489C-BCC3-2C4C0CE8710B}" name="Tabla4" displayName="Tabla4" ref="A1:B10" totalsRowShown="0" dataDxfId="13">
  <autoFilter ref="A1:B10" xr:uid="{B4B06526-AD7C-489C-BCC3-2C4C0CE8710B}"/>
  <tableColumns count="2">
    <tableColumn id="1" xr3:uid="{E4AFA88A-00B4-47D8-9983-6E1AA843B55E}" name="Titulo" dataDxfId="12"/>
    <tableColumn id="2" xr3:uid="{93B74251-5E69-4595-8C7E-643E99C78113}" name="Descripción"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E527D4-FA0E-46CC-8DBC-3E8F3B4AB4DD}" name="Tabla1" displayName="Tabla1" ref="A1:I11" totalsRowShown="0" headerRowDxfId="10" dataDxfId="9">
  <autoFilter ref="A1:I11" xr:uid="{CDE527D4-FA0E-46CC-8DBC-3E8F3B4AB4DD}"/>
  <tableColumns count="9">
    <tableColumn id="1" xr3:uid="{A29AFD56-912D-4C07-BE7C-A6E9E88B086A}" name="fecha de solicitud" dataDxfId="8"/>
    <tableColumn id="2" xr3:uid="{97D15481-891F-4C79-A981-BCA8A9C7DE96}" name="numero_noc" dataDxfId="7"/>
    <tableColumn id="3" xr3:uid="{17A407BE-81F6-4C59-891F-2CF68612A777}" name="informador" dataDxfId="6"/>
    <tableColumn id="4" xr3:uid="{55085188-1751-4D00-ADE7-D8D2C0D8FC96}" name="titulo" dataDxfId="5"/>
    <tableColumn id="5" xr3:uid="{03090A3D-146A-4C94-8AD4-88DCF7AC81BA}" name="descripción" dataDxfId="4"/>
    <tableColumn id="6" xr3:uid="{A5A87E11-4718-41A4-85BD-0E4E3358788E}" name="resolución" dataDxfId="3"/>
    <tableColumn id="7" xr3:uid="{A7EBFCF5-6764-4C6C-BBB2-C557CFF66B82}" name="link_al_noc" dataDxfId="2"/>
    <tableColumn id="8" xr3:uid="{3B53DCA5-B15B-41F9-88F7-C0CAE7B2A467}" name="estado" dataDxfId="1"/>
    <tableColumn id="9" xr3:uid="{662BEF95-DCB8-486D-A684-5F080FD28636}" name="detall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sijira.buenosaires.gob.ar/browse/APPXROAD-1315" TargetMode="External"/><Relationship Id="rId13" Type="http://schemas.openxmlformats.org/officeDocument/2006/relationships/hyperlink" Target="https://noc-mesa.buenosaires.gob.ar/WorkOrder.do?woMode=viewWO&amp;woID=1447652" TargetMode="External"/><Relationship Id="rId18" Type="http://schemas.openxmlformats.org/officeDocument/2006/relationships/hyperlink" Target="https://noc-mesa.buenosaires.gob.ar/WorkOrder.do?woMode=viewWO&amp;woID=1599127" TargetMode="External"/><Relationship Id="rId26" Type="http://schemas.openxmlformats.org/officeDocument/2006/relationships/hyperlink" Target="https://noc-mesa.buenosaires.gob.ar/WorkOrder.do?woMode=viewWO&amp;woID=1519747" TargetMode="External"/><Relationship Id="rId3" Type="http://schemas.openxmlformats.org/officeDocument/2006/relationships/hyperlink" Target="https://noc-mesa.buenosaires.gob.ar/WorkOrder.do?woMode=viewWO&amp;woID=1335212" TargetMode="External"/><Relationship Id="rId21" Type="http://schemas.openxmlformats.org/officeDocument/2006/relationships/hyperlink" Target="https://noc-mesa.buenosaires.gob.ar/WorkOrder.do?woMode=viewWO&amp;woID=1568067" TargetMode="External"/><Relationship Id="rId7" Type="http://schemas.openxmlformats.org/officeDocument/2006/relationships/hyperlink" Target="https://noc-mesa.buenosaires.gob.ar/WorkOrder.do?woMode=viewWO&amp;woID=1375070" TargetMode="External"/><Relationship Id="rId12" Type="http://schemas.openxmlformats.org/officeDocument/2006/relationships/hyperlink" Target="https://noc-mesa.buenosaires.gob.ar/WorkOrder.do?woMode=viewWO&amp;woID=1407892" TargetMode="External"/><Relationship Id="rId17" Type="http://schemas.openxmlformats.org/officeDocument/2006/relationships/hyperlink" Target="https://bcbasv1548:8443/r1/edicaba/GOB/024/Prov-RLM-PRD/GenerarTokenREST&#8221;:%20&#8220;%7b&#8220;detail&#8221;:&#8221;Request%20inv&#225;lido.%20Revise%20los%20par&#225;metros%20enviados" TargetMode="External"/><Relationship Id="rId25" Type="http://schemas.openxmlformats.org/officeDocument/2006/relationships/hyperlink" Target="https://noc-mesa.buenosaires.gob.ar/WorkOrder.do?woMode=viewWO&amp;woID=1512052" TargetMode="External"/><Relationship Id="rId2" Type="http://schemas.openxmlformats.org/officeDocument/2006/relationships/hyperlink" Target="https://asijira.buenosaires.gob.ar/browse/APPXROAD-1168" TargetMode="External"/><Relationship Id="rId16" Type="http://schemas.openxmlformats.org/officeDocument/2006/relationships/hyperlink" Target="https://noc-mesa.buenosaires.gob.ar/WorkOrder.do?woMode=viewWO&amp;woID=1487741" TargetMode="External"/><Relationship Id="rId20" Type="http://schemas.openxmlformats.org/officeDocument/2006/relationships/hyperlink" Target="https://noc-mesa.buenosaires.gob.ar/WorkOrder.do?woMode=viewWO&amp;woID=1582722" TargetMode="External"/><Relationship Id="rId29" Type="http://schemas.openxmlformats.org/officeDocument/2006/relationships/hyperlink" Target="https://noc-mesa.buenosaires.gob.ar/WorkOrder.do?woMode=viewWO&amp;woID=1611003&amp;PORTALID=1" TargetMode="External"/><Relationship Id="rId1" Type="http://schemas.openxmlformats.org/officeDocument/2006/relationships/hyperlink" Target="https://asijira.buenosaires.gob.ar/browse/APPXROAD-1290" TargetMode="External"/><Relationship Id="rId6" Type="http://schemas.openxmlformats.org/officeDocument/2006/relationships/hyperlink" Target="https://asijira.buenosaires.gob.ar/browse/APPXROAD-1285" TargetMode="External"/><Relationship Id="rId11" Type="http://schemas.openxmlformats.org/officeDocument/2006/relationships/hyperlink" Target="https://asijira.buenosaires.gob.ar/browse/APPXROAD-1282" TargetMode="External"/><Relationship Id="rId24" Type="http://schemas.openxmlformats.org/officeDocument/2006/relationships/hyperlink" Target="https://noc-mesa.buenosaires.gob.ar/WorkOrder.do?woMode=viewWO&amp;woID=1507861" TargetMode="External"/><Relationship Id="rId32" Type="http://schemas.openxmlformats.org/officeDocument/2006/relationships/table" Target="../tables/table1.xml"/><Relationship Id="rId5" Type="http://schemas.openxmlformats.org/officeDocument/2006/relationships/hyperlink" Target="https://asijira.buenosaires.gob.ar/browse/APPGCXROAD-484" TargetMode="External"/><Relationship Id="rId15" Type="http://schemas.openxmlformats.org/officeDocument/2006/relationships/hyperlink" Target="https://noc-mesa.buenosaires.gob.ar/WorkOrder.do?woMode=viewWO&amp;woID=1475238" TargetMode="External"/><Relationship Id="rId23" Type="http://schemas.openxmlformats.org/officeDocument/2006/relationships/hyperlink" Target="https://noc-mesa.buenosaires.gob.ar/WorkOrder.do?woMode=viewWO&amp;woID=1489826" TargetMode="External"/><Relationship Id="rId28" Type="http://schemas.openxmlformats.org/officeDocument/2006/relationships/hyperlink" Target="https://noc-mesa.buenosaires.gob.ar/WorkOrder.do?woMode=viewWO&amp;woID=1603288&amp;PORTALID=1" TargetMode="External"/><Relationship Id="rId10" Type="http://schemas.openxmlformats.org/officeDocument/2006/relationships/hyperlink" Target="https://noc-mesa.buenosaires.gob.ar/WorkOrder.do?woMode=viewWO&amp;woID=1378332" TargetMode="External"/><Relationship Id="rId19" Type="http://schemas.openxmlformats.org/officeDocument/2006/relationships/hyperlink" Target="https://noc-mesa.buenosaires.gob.ar/WorkOrder.do?woMode=viewWO&amp;woID=1594770" TargetMode="External"/><Relationship Id="rId31" Type="http://schemas.openxmlformats.org/officeDocument/2006/relationships/hyperlink" Target="https://noc-mesa.buenosaires.gob.ar/WorkOrder.do?woMode=viewWO&amp;woID=1611581&amp;PORTALID=1" TargetMode="External"/><Relationship Id="rId4" Type="http://schemas.openxmlformats.org/officeDocument/2006/relationships/hyperlink" Target="https://noc-mesa.buenosaires.gob.ar/WorkOrder.do?woMode=viewWO&amp;woID=1246398" TargetMode="External"/><Relationship Id="rId9" Type="http://schemas.openxmlformats.org/officeDocument/2006/relationships/hyperlink" Target="https://asijira.buenosaires.gob.ar/browse/APPXROAD-1320" TargetMode="External"/><Relationship Id="rId14" Type="http://schemas.openxmlformats.org/officeDocument/2006/relationships/hyperlink" Target="https://asijira.buenosaires.gob.ar/browse/APPXROAD-1386" TargetMode="External"/><Relationship Id="rId22" Type="http://schemas.openxmlformats.org/officeDocument/2006/relationships/hyperlink" Target="https://i.imgur.com/ic55bJ2.png" TargetMode="External"/><Relationship Id="rId27" Type="http://schemas.openxmlformats.org/officeDocument/2006/relationships/hyperlink" Target="https://noc-mesa.buenosaires.gob.ar/WorkOrder.do?woMode=viewWO&amp;woID=1448912" TargetMode="External"/><Relationship Id="rId30" Type="http://schemas.openxmlformats.org/officeDocument/2006/relationships/hyperlink" Target="https://noc-mesa.buenosaires.gob.ar/WorkOrder.do?woMode=viewWO&amp;woID=1610950&amp;PORTALID=1"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noc-mesa.buenosaires.gob.ar/WorkOrder.do?woMode=viewWO&amp;woID=1575244&amp;PORTALID=1" TargetMode="External"/><Relationship Id="rId2" Type="http://schemas.openxmlformats.org/officeDocument/2006/relationships/hyperlink" Target="https://asijira.buenosaires.gob.ar/browse/APPXROAD-1470" TargetMode="External"/><Relationship Id="rId1" Type="http://schemas.openxmlformats.org/officeDocument/2006/relationships/hyperlink" Target="https://noc-mesa.buenosaires.gob.ar/WorkOrder.do?woMode=viewWO&amp;woID=1339159" TargetMode="Externa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hyperlink" Target="https://portal-interoperabilidad-dev.gcba.gob.ar/" TargetMode="External"/><Relationship Id="rId13" Type="http://schemas.openxmlformats.org/officeDocument/2006/relationships/hyperlink" Target="https://console-openshift-console.apps.ocp4-dev.gcba.gob.ar/k8s/ns/gestion-catalogo-qa/core~v1~Pod" TargetMode="External"/><Relationship Id="rId18" Type="http://schemas.openxmlformats.org/officeDocument/2006/relationships/hyperlink" Target="https://gcaba.sharepoint.com/sites/grupo_Interoperabilidad2025/Documentos%20compartidos/Forms/AllItems.aspx?id=%2Fsites%2Fgrupo%5FInteroperabilidad2025%2FDocumentos%20compartidos%2FMANUAL%20X%2DBA%2FXBA%20%2D%20Manual%2Ev1%2E%20%2D%202026%2Epdf&amp;parent=%2Fsites%2Fgrupo%5FInteroperabilidad2025%2FDocumentos%20compartidos%2FMANUAL%20X%2DBA&amp;p=true&amp;ga=1" TargetMode="External"/><Relationship Id="rId3" Type="http://schemas.openxmlformats.org/officeDocument/2006/relationships/hyperlink" Target="https://ops-view.gcba.gob.ar/s/dgisis/app/discover" TargetMode="External"/><Relationship Id="rId21" Type="http://schemas.openxmlformats.org/officeDocument/2006/relationships/hyperlink" Target="https://gcaba.sharepoint.com/:x:/r/sites/grupo_Interoperabilidad2025/_layouts/15/Doc.aspx?sourcedoc=%7BECCBB5C7-D174-4109-8317-3BFD7360764F%7D&amp;file=Testing%20general%202026.xlsx&amp;action=default&amp;mobileredirect=true" TargetMode="External"/><Relationship Id="rId7" Type="http://schemas.openxmlformats.org/officeDocument/2006/relationships/hyperlink" Target="https://cmo.gcba.gob.ar/public/mapshow.htm?id=67423&amp;mapid=8999D3BC-CE63-4669-9259-89166B07C4C4" TargetMode="External"/><Relationship Id="rId12" Type="http://schemas.openxmlformats.org/officeDocument/2006/relationships/hyperlink" Target="https://console-openshift-console.apps.ocp4-dev.gcba.gob.ar/k8s/ns/gestion-catalogo-dev/core~v1~Pod" TargetMode="External"/><Relationship Id="rId17" Type="http://schemas.openxmlformats.org/officeDocument/2006/relationships/hyperlink" Target="https://gcaba.sharepoint.com/:x:/s/grupo_XRoadTecnico/IQClTHhzOknQS7GNB0R_cICXAdt5ufFqNn_Otoo7HiSTs90?e=hYK3oG" TargetMode="External"/><Relationship Id="rId25" Type="http://schemas.openxmlformats.org/officeDocument/2006/relationships/hyperlink" Target="https://gcaba-my.sharepoint.com/:f:/r/personal/cbarattucci_buenosaires_gob_ar/Documents/Unitech/Collections?csf=1&amp;web=1&amp;e=uhYcgT" TargetMode="External"/><Relationship Id="rId2" Type="http://schemas.openxmlformats.org/officeDocument/2006/relationships/hyperlink" Target="https://ops-view.gcba.gob.ar/s/dgisis/app/discover" TargetMode="External"/><Relationship Id="rId16" Type="http://schemas.openxmlformats.org/officeDocument/2006/relationships/hyperlink" Target="https://gcaba.sharepoint.com/:f:/r/sites/grupo_Interoperabilidad2025/Documentos%20compartidos/Scripts?csf=1&amp;web=1&amp;e=Ohoger" TargetMode="External"/><Relationship Id="rId20" Type="http://schemas.openxmlformats.org/officeDocument/2006/relationships/hyperlink" Target="https://repositorio-asi.buenosaires.gob.ar/" TargetMode="External"/><Relationship Id="rId1" Type="http://schemas.openxmlformats.org/officeDocument/2006/relationships/hyperlink" Target="https://ops-view.gcba.gob.ar/s/dgisis/app/discover" TargetMode="External"/><Relationship Id="rId6" Type="http://schemas.openxmlformats.org/officeDocument/2006/relationships/hyperlink" Target="https://cmo.gcba.gob.ar/public/mapshow.htm?id=66791&amp;mapid=86764F87-0B34-40F5-892A-324864CDAA43" TargetMode="External"/><Relationship Id="rId11" Type="http://schemas.openxmlformats.org/officeDocument/2006/relationships/hyperlink" Target="https://portal-interoperabilidad.buenosaires.gob.ar/" TargetMode="External"/><Relationship Id="rId24" Type="http://schemas.openxmlformats.org/officeDocument/2006/relationships/hyperlink" Target="https://gcaba.sharepoint.com/:x:/r/sites/grupo_Interoperabilidad2025/Documentos%20compartidos/Automatizaciones/Reporte%20PRTG%20e%20Ingesta_2026-06-09.xlsx?d=wfcea2a36b4a94c8e90206faad8e9f5cb&amp;csf=1&amp;web=1&amp;e=2IMjoZ" TargetMode="External"/><Relationship Id="rId5" Type="http://schemas.openxmlformats.org/officeDocument/2006/relationships/hyperlink" Target="https://cmo.gcba.gob.ar/public/mapshow.htm?id=66792&amp;mapid=900F4399-98CE-40B5-8CB1-907959EA5F04" TargetMode="External"/><Relationship Id="rId15" Type="http://schemas.openxmlformats.org/officeDocument/2006/relationships/hyperlink" Target="https://gcaba.sharepoint.com/sites/grupo_Interoperabilidad2025/SitePages/Interoperabilidad-X-BA.aspx?email=acanitrot%40buenosaires.gob.ar&amp;e=trX2pz" TargetMode="External"/><Relationship Id="rId23" Type="http://schemas.openxmlformats.org/officeDocument/2006/relationships/hyperlink" Target="https://gcaba.sharepoint.com/:x:/r/sites/grupo_Interoperabilidad2025/_layouts/15/Doc.aspx?sourcedoc=%7BC047BD50-D380-4C3E-866A-19C1AB9AE923%7D&amp;file=Planilla%20Desarrollos.xlsx&amp;action=default&amp;mobileredirect=true" TargetMode="External"/><Relationship Id="rId10" Type="http://schemas.openxmlformats.org/officeDocument/2006/relationships/hyperlink" Target="https://portal-interoperabilidad-hml.gcba.gob.ar/" TargetMode="External"/><Relationship Id="rId19" Type="http://schemas.openxmlformats.org/officeDocument/2006/relationships/hyperlink" Target="https://gcaba.sharepoint.com/:x:/r/sites/grupo_DGGDA/_layouts/15/Doc.aspx?sourcedoc=%7B3CDBFEDA-1A1A-411F-8C98-3828215B20F2%7D&amp;file=Despliegues_DGGDA.xlsx&amp;action=default&amp;mobileredirect=true&amp;isSPOFile=1&amp;ovuser=2377472e-8004-4648-8456-bd9687afa150%2Cmaximilianoaugustopalavecino%40buenosaires.gob.ar&amp;wdExp=TEAMS-TREATMENT&amp;web=1&amp;clickparams=eyJBcHBOYW1lIjoiVGVhbXMtRGVza3RvcCIsIkFwcFZlcnNpb24iOiI0OS8yNjA0MDQwMTcxMCJ9&amp;linkOpenTime=1776871273163" TargetMode="External"/><Relationship Id="rId4" Type="http://schemas.openxmlformats.org/officeDocument/2006/relationships/hyperlink" Target="https://cmo.gcba.gob.ar/public/mapshow.htm?id=57862&amp;mapid=5886F60E-9944-436B-95A2-733343442B24" TargetMode="External"/><Relationship Id="rId9" Type="http://schemas.openxmlformats.org/officeDocument/2006/relationships/hyperlink" Target="https://portal-interoperabilidad-qa.gcba.gob.ar/" TargetMode="External"/><Relationship Id="rId14" Type="http://schemas.openxmlformats.org/officeDocument/2006/relationships/hyperlink" Target="https://www.notion.so/Control-diario-PRTG-319fc3ee8af3803bb5ddd85a048386c3?source=copy_link" TargetMode="External"/><Relationship Id="rId22" Type="http://schemas.openxmlformats.org/officeDocument/2006/relationships/hyperlink" Target="https://gcaba.sharepoint.com/:w:/r/sites/grupo_Interoperabilidad2025/Documentos%20compartidos/Recursos/Pruebas%20de%20conexiones%20entre%20SS%20-%20SC.docx?d=wf11a358074fb4dc681b005b0d8020679&amp;csf=1&amp;web=1&amp;e=RUYBxz"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gcaba.sharepoint.com/:b:/r/sites/grupo_Interoperabilidad2025/Documentos%20compartidos/Instructivos%20-%20Documentaci%C3%B3n/Instructivo%20-%20Despliegue%20de%20PipelineRun%20con%20cambios.pdf?csf=1&amp;web=1&amp;e=8u9EGN" TargetMode="External"/><Relationship Id="rId3" Type="http://schemas.openxmlformats.org/officeDocument/2006/relationships/hyperlink" Target="https://gcaba.sharepoint.com/:w:/r/sites/grupo_Interoperabilidad2025/Documentos%20compartidos/Instructivos%20-%20Documentaci%C3%B3n/Pruebas%20de%20conexiones%20entre%20SS%20-%20SC.docx?d=wf11a358074fb4dc681b005b0d8020679&amp;csf=1&amp;web=1&amp;e=aBftNl" TargetMode="External"/><Relationship Id="rId7" Type="http://schemas.openxmlformats.org/officeDocument/2006/relationships/hyperlink" Target="https://gcaba.sharepoint.com/:b:/r/sites/grupo_Interoperabilidad2025/Documentos%20compartidos/Instructivos%20-%20Documentaci%C3%B3n/ES0901%20-%20Estandar%20de%20Desarrollo%20ASI%20v6.3.pdf?csf=1&amp;web=1&amp;e=gLYv15" TargetMode="External"/><Relationship Id="rId2" Type="http://schemas.openxmlformats.org/officeDocument/2006/relationships/hyperlink" Target="https://gcaba.sharepoint.com/:b:/r/sites/grupo_Interoperabilidad2025/Documentos%20compartidos/Instructivos%20-%20Documentaci%C3%B3n/XBA%20-%20Manual.v1.%20-%202026.pdf?csf=1&amp;web=1&amp;e=wMqdl0" TargetMode="External"/><Relationship Id="rId1" Type="http://schemas.openxmlformats.org/officeDocument/2006/relationships/hyperlink" Target="https://gcaba.sharepoint.com/:b:/r/sites/grupo_Interoperabilidad2025/Documentos%20compartidos/Recursos/Instructivo%20-%20Actualizaci%C3%B3n%20de%20Servidores%20de%20Seguridad.pdf?csf=1&amp;web=1&amp;e=oSYkK9" TargetMode="External"/><Relationship Id="rId6" Type="http://schemas.openxmlformats.org/officeDocument/2006/relationships/hyperlink" Target="https://gcaba.sharepoint.com/:b:/r/sites/grupo_Interoperabilidad2025/Documentos%20compartidos/Instructivos%20-%20Documentaci%C3%B3n/Configuraci%C3%B3n%20Foreing%20Server%20Postgresql.pdf?csf=1&amp;web=1&amp;e=TnZRQi" TargetMode="External"/><Relationship Id="rId5" Type="http://schemas.openxmlformats.org/officeDocument/2006/relationships/hyperlink" Target="https://gcaba.sharepoint.com/:b:/r/sites/grupo_Interoperabilidad2025/Documentos%20compartidos/Instructivos%20-%20Documentaci%C3%B3n/Efectores%20-%20XBA.pdf?csf=1&amp;web=1&amp;e=5jUgYd" TargetMode="External"/><Relationship Id="rId10" Type="http://schemas.openxmlformats.org/officeDocument/2006/relationships/table" Target="../tables/table3.xml"/><Relationship Id="rId4" Type="http://schemas.openxmlformats.org/officeDocument/2006/relationships/hyperlink" Target="https://gcaba.sharepoint.com/:b:/r/sites/grupo_Interoperabilidad2025/Documentos%20compartidos/Instructivos%20-%20Documentaci%C3%B3n/Instalaci%C3%B3n%20y%20requisitos%20para%20agregar%20un%20Security%20Server%20para%20externos%20V1.4.pdf?csf=1&amp;web=1&amp;e=DghKYP" TargetMode="External"/><Relationship Id="rId9" Type="http://schemas.openxmlformats.org/officeDocument/2006/relationships/hyperlink" Target="https://gcaba.sharepoint.com/:b:/r/sites/grupo_Interoperabilidad2025/Documentos%20compartidos/Instructivos%20-%20Documentaci%C3%B3n/Gesti%C3%B3n%20de%20Errores%20X-Road%20(CABA).pdf?csf=1&amp;web=1&amp;e=20xko1"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noc-mesa.buenosaires.gob.ar/WorkOrder.do?woMode=viewWO&amp;woID=1574961&amp;PORTALID=1" TargetMode="External"/><Relationship Id="rId3" Type="http://schemas.openxmlformats.org/officeDocument/2006/relationships/hyperlink" Target="https://redmine.buenosaires.gob.ar/issues/56515" TargetMode="External"/><Relationship Id="rId7" Type="http://schemas.openxmlformats.org/officeDocument/2006/relationships/hyperlink" Target="https://noc-mesa.buenosaires.gob.ar/WorkOrder.do?woMode=viewWO&amp;woID=1487741" TargetMode="External"/><Relationship Id="rId12" Type="http://schemas.openxmlformats.org/officeDocument/2006/relationships/table" Target="../tables/table4.xml"/><Relationship Id="rId2" Type="http://schemas.openxmlformats.org/officeDocument/2006/relationships/hyperlink" Target="https://asijira.buenosaires.gob.ar/browse/APPXROAD-1294" TargetMode="External"/><Relationship Id="rId1" Type="http://schemas.openxmlformats.org/officeDocument/2006/relationships/hyperlink" Target="https://asijira.buenosaires.gob.ar/browse/APPXROAD-1294" TargetMode="External"/><Relationship Id="rId6" Type="http://schemas.openxmlformats.org/officeDocument/2006/relationships/hyperlink" Target="https://noc-mesa.buenosaires.gob.ar/WorkOrder.do?woMode=viewWO&amp;woID=1475238" TargetMode="External"/><Relationship Id="rId11" Type="http://schemas.openxmlformats.org/officeDocument/2006/relationships/hyperlink" Target="https://noc-mesa.buenosaires.gob.ar/WorkOrder.do?woMode=viewWO&amp;woID=1597926" TargetMode="External"/><Relationship Id="rId5" Type="http://schemas.openxmlformats.org/officeDocument/2006/relationships/hyperlink" Target="https://noc-mesa.buenosaires.gob.ar/WorkOrder.do?woMode=viewWO&amp;woID=1408359" TargetMode="External"/><Relationship Id="rId10" Type="http://schemas.openxmlformats.org/officeDocument/2006/relationships/hyperlink" Target="https://noc-mesa.buenosaires.gob.ar/WorkOrder.do?woMode=viewWO&amp;woID=1573366&amp;PORTALID=1" TargetMode="External"/><Relationship Id="rId4" Type="http://schemas.openxmlformats.org/officeDocument/2006/relationships/hyperlink" Target="https://noc-mesa.buenosaires.gob.ar/WorkOrder.do?woMode=viewWO&amp;woID=1408359" TargetMode="External"/><Relationship Id="rId9" Type="http://schemas.openxmlformats.org/officeDocument/2006/relationships/hyperlink" Target="https://noc-mesa.buenosaires.gob.ar/WorkOrder.do?woMode=viewWO&amp;woID=1574571&amp;PORTALID=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6818E-CE4C-4B8E-83A2-29190553ADC3}">
  <dimension ref="A1:L63"/>
  <sheetViews>
    <sheetView tabSelected="1" topLeftCell="F50" workbookViewId="0">
      <selection activeCell="H51" sqref="H51"/>
    </sheetView>
  </sheetViews>
  <sheetFormatPr defaultRowHeight="15"/>
  <cols>
    <col min="1" max="1" width="28.5703125" style="58" customWidth="1"/>
    <col min="2" max="2" width="30.140625" style="4" customWidth="1"/>
    <col min="3" max="3" width="31.85546875" style="2" customWidth="1"/>
    <col min="4" max="4" width="34.7109375" style="2" customWidth="1"/>
    <col min="5" max="5" width="14.140625" style="2" customWidth="1"/>
    <col min="6" max="6" width="58.5703125" style="2" customWidth="1"/>
    <col min="7" max="7" width="90.7109375" bestFit="1" customWidth="1"/>
    <col min="8" max="9" width="74.7109375" customWidth="1"/>
    <col min="10" max="10" width="77.140625" customWidth="1"/>
    <col min="11" max="11" width="14.140625" customWidth="1"/>
    <col min="12" max="12" width="51" customWidth="1"/>
  </cols>
  <sheetData>
    <row r="1" spans="1:12" s="15" customFormat="1" ht="29.25" customHeight="1">
      <c r="A1" s="56" t="s">
        <v>0</v>
      </c>
      <c r="B1" s="56" t="s">
        <v>1</v>
      </c>
      <c r="C1" s="57" t="s">
        <v>2</v>
      </c>
      <c r="D1" s="57" t="s">
        <v>3</v>
      </c>
      <c r="E1" s="57" t="s">
        <v>4</v>
      </c>
      <c r="F1" s="57" t="s">
        <v>5</v>
      </c>
      <c r="G1" s="57" t="s">
        <v>6</v>
      </c>
      <c r="H1" s="57" t="s">
        <v>7</v>
      </c>
      <c r="I1" s="57" t="s">
        <v>8</v>
      </c>
      <c r="J1" s="57" t="s">
        <v>9</v>
      </c>
      <c r="K1" s="57" t="s">
        <v>10</v>
      </c>
      <c r="L1" s="57" t="s">
        <v>11</v>
      </c>
    </row>
    <row r="2" spans="1:12">
      <c r="A2" s="31" t="s">
        <v>12</v>
      </c>
      <c r="B2" s="32"/>
      <c r="C2" s="35"/>
      <c r="D2" s="35" t="s">
        <v>13</v>
      </c>
      <c r="E2" s="35"/>
      <c r="F2" s="43" t="s">
        <v>14</v>
      </c>
      <c r="G2" s="45" t="s">
        <v>15</v>
      </c>
      <c r="H2" s="45" t="s">
        <v>16</v>
      </c>
      <c r="I2" s="46"/>
      <c r="J2" s="50"/>
      <c r="K2" s="38"/>
      <c r="L2" s="54" t="s">
        <v>17</v>
      </c>
    </row>
    <row r="3" spans="1:12">
      <c r="A3" s="31" t="s">
        <v>12</v>
      </c>
      <c r="B3" s="32"/>
      <c r="C3" s="35"/>
      <c r="D3" s="35" t="s">
        <v>18</v>
      </c>
      <c r="E3" s="35" t="s">
        <v>19</v>
      </c>
      <c r="F3" s="43" t="s">
        <v>20</v>
      </c>
      <c r="G3" s="45" t="s">
        <v>21</v>
      </c>
      <c r="H3" s="45"/>
      <c r="I3" s="46"/>
      <c r="J3" s="50"/>
      <c r="K3" s="38" t="s">
        <v>22</v>
      </c>
      <c r="L3" s="55"/>
    </row>
    <row r="4" spans="1:12">
      <c r="A4" s="31" t="s">
        <v>12</v>
      </c>
      <c r="B4" s="32"/>
      <c r="C4" s="35"/>
      <c r="D4" s="35" t="s">
        <v>18</v>
      </c>
      <c r="E4" s="35" t="s">
        <v>23</v>
      </c>
      <c r="F4" s="43" t="s">
        <v>24</v>
      </c>
      <c r="G4" s="45" t="s">
        <v>25</v>
      </c>
      <c r="H4" s="45"/>
      <c r="I4" s="46" t="s">
        <v>26</v>
      </c>
      <c r="J4" s="50"/>
      <c r="K4" s="38" t="s">
        <v>22</v>
      </c>
      <c r="L4" s="55"/>
    </row>
    <row r="5" spans="1:12">
      <c r="A5" s="31" t="s">
        <v>12</v>
      </c>
      <c r="B5" s="32"/>
      <c r="C5" s="35"/>
      <c r="D5" s="35" t="s">
        <v>27</v>
      </c>
      <c r="E5" s="35" t="s">
        <v>19</v>
      </c>
      <c r="F5" s="43" t="s">
        <v>28</v>
      </c>
      <c r="G5" s="45" t="s">
        <v>29</v>
      </c>
      <c r="H5" s="45"/>
      <c r="I5" s="46" t="s">
        <v>30</v>
      </c>
      <c r="J5" s="50"/>
      <c r="K5" s="38" t="s">
        <v>22</v>
      </c>
      <c r="L5" s="55"/>
    </row>
    <row r="6" spans="1:12">
      <c r="A6" s="31" t="s">
        <v>12</v>
      </c>
      <c r="B6" s="32"/>
      <c r="C6" s="35"/>
      <c r="D6" s="35" t="s">
        <v>31</v>
      </c>
      <c r="E6" s="35" t="s">
        <v>23</v>
      </c>
      <c r="F6" s="43" t="s">
        <v>32</v>
      </c>
      <c r="G6" s="45"/>
      <c r="H6" s="45"/>
      <c r="I6" s="46"/>
      <c r="J6" s="50"/>
      <c r="K6" s="38"/>
      <c r="L6" s="55"/>
    </row>
    <row r="7" spans="1:12">
      <c r="A7" s="31" t="s">
        <v>12</v>
      </c>
      <c r="B7" s="32"/>
      <c r="C7" s="35" t="s">
        <v>33</v>
      </c>
      <c r="D7" s="35" t="s">
        <v>34</v>
      </c>
      <c r="E7" s="35" t="s">
        <v>19</v>
      </c>
      <c r="F7" s="43" t="s">
        <v>35</v>
      </c>
      <c r="G7" s="45" t="s">
        <v>36</v>
      </c>
      <c r="H7" s="45" t="s">
        <v>37</v>
      </c>
      <c r="I7" s="46"/>
      <c r="J7" s="50"/>
      <c r="K7" s="38"/>
      <c r="L7" s="55"/>
    </row>
    <row r="8" spans="1:12" ht="29.25">
      <c r="A8" s="32">
        <v>45523</v>
      </c>
      <c r="B8" s="32">
        <v>45525</v>
      </c>
      <c r="C8" s="35">
        <v>1246398</v>
      </c>
      <c r="D8" s="35" t="s">
        <v>13</v>
      </c>
      <c r="E8" s="35"/>
      <c r="F8" s="43" t="s">
        <v>38</v>
      </c>
      <c r="G8" s="45" t="s">
        <v>39</v>
      </c>
      <c r="H8" s="45" t="s">
        <v>40</v>
      </c>
      <c r="I8" s="46" t="s">
        <v>41</v>
      </c>
      <c r="J8" s="51" t="s">
        <v>42</v>
      </c>
      <c r="K8" s="38" t="s">
        <v>22</v>
      </c>
      <c r="L8" s="54" t="s">
        <v>43</v>
      </c>
    </row>
    <row r="9" spans="1:12">
      <c r="A9" s="32">
        <v>45672</v>
      </c>
      <c r="B9" s="32" t="s">
        <v>44</v>
      </c>
      <c r="C9" s="36" t="s">
        <v>45</v>
      </c>
      <c r="D9" s="35" t="s">
        <v>46</v>
      </c>
      <c r="E9" s="35"/>
      <c r="F9" s="43" t="s">
        <v>47</v>
      </c>
      <c r="G9" s="45" t="s">
        <v>48</v>
      </c>
      <c r="H9" s="45"/>
      <c r="I9" s="46" t="s">
        <v>49</v>
      </c>
      <c r="J9" s="50"/>
      <c r="K9" s="38" t="s">
        <v>22</v>
      </c>
      <c r="L9" s="55"/>
    </row>
    <row r="10" spans="1:12" ht="29.25">
      <c r="A10" s="32">
        <v>45678</v>
      </c>
      <c r="B10" s="32">
        <v>45679</v>
      </c>
      <c r="C10" s="35">
        <v>1335212</v>
      </c>
      <c r="D10" s="35" t="s">
        <v>13</v>
      </c>
      <c r="E10" s="35"/>
      <c r="F10" s="43" t="s">
        <v>50</v>
      </c>
      <c r="G10" s="45" t="s">
        <v>51</v>
      </c>
      <c r="H10" s="45" t="s">
        <v>52</v>
      </c>
      <c r="I10" s="46" t="s">
        <v>53</v>
      </c>
      <c r="J10" s="51" t="s">
        <v>54</v>
      </c>
      <c r="K10" s="38" t="s">
        <v>22</v>
      </c>
      <c r="L10" s="54" t="s">
        <v>55</v>
      </c>
    </row>
    <row r="11" spans="1:12">
      <c r="A11" s="32">
        <v>45681</v>
      </c>
      <c r="B11" s="32" t="s">
        <v>56</v>
      </c>
      <c r="C11" s="37" t="s">
        <v>57</v>
      </c>
      <c r="D11" s="35" t="s">
        <v>58</v>
      </c>
      <c r="E11" s="35"/>
      <c r="F11" s="43" t="s">
        <v>59</v>
      </c>
      <c r="G11" s="45" t="s">
        <v>60</v>
      </c>
      <c r="H11" s="45"/>
      <c r="I11" s="46"/>
      <c r="J11" s="50"/>
      <c r="K11" s="38" t="s">
        <v>61</v>
      </c>
      <c r="L11" s="54"/>
    </row>
    <row r="12" spans="1:12">
      <c r="A12" s="32">
        <v>45684</v>
      </c>
      <c r="B12" s="32" t="s">
        <v>62</v>
      </c>
      <c r="C12" s="35" t="s">
        <v>33</v>
      </c>
      <c r="D12" s="35" t="s">
        <v>63</v>
      </c>
      <c r="E12" s="35"/>
      <c r="F12" s="43" t="s">
        <v>64</v>
      </c>
      <c r="G12" s="45" t="s">
        <v>65</v>
      </c>
      <c r="H12" s="45"/>
      <c r="I12" s="46" t="s">
        <v>66</v>
      </c>
      <c r="J12" s="50"/>
      <c r="K12" s="38" t="s">
        <v>22</v>
      </c>
      <c r="L12" s="55"/>
    </row>
    <row r="13" spans="1:12">
      <c r="A13" s="32">
        <v>45687</v>
      </c>
      <c r="B13" s="32" t="s">
        <v>67</v>
      </c>
      <c r="C13" s="35" t="s">
        <v>33</v>
      </c>
      <c r="D13" s="38" t="s">
        <v>68</v>
      </c>
      <c r="E13" s="38"/>
      <c r="F13" s="43" t="s">
        <v>69</v>
      </c>
      <c r="G13" s="45"/>
      <c r="H13" s="45" t="s">
        <v>70</v>
      </c>
      <c r="I13" s="46" t="s">
        <v>71</v>
      </c>
      <c r="J13" s="50"/>
      <c r="K13" s="38" t="s">
        <v>22</v>
      </c>
      <c r="L13" s="55"/>
    </row>
    <row r="14" spans="1:12">
      <c r="A14" s="32">
        <v>45722</v>
      </c>
      <c r="B14" s="32"/>
      <c r="C14" s="35" t="s">
        <v>72</v>
      </c>
      <c r="D14" s="35" t="s">
        <v>73</v>
      </c>
      <c r="E14" s="35"/>
      <c r="F14" s="43" t="s">
        <v>74</v>
      </c>
      <c r="G14" s="45"/>
      <c r="H14" s="45"/>
      <c r="I14" s="46"/>
      <c r="J14" s="50"/>
      <c r="K14" s="38" t="s">
        <v>22</v>
      </c>
      <c r="L14" s="55"/>
    </row>
    <row r="15" spans="1:12" ht="29.25">
      <c r="A15" s="32">
        <v>45755</v>
      </c>
      <c r="B15" s="66">
        <v>0.66666666666666663</v>
      </c>
      <c r="C15" s="36" t="s">
        <v>75</v>
      </c>
      <c r="D15" s="35" t="s">
        <v>46</v>
      </c>
      <c r="E15" s="35"/>
      <c r="F15" s="43" t="s">
        <v>76</v>
      </c>
      <c r="G15" s="45" t="s">
        <v>77</v>
      </c>
      <c r="H15" s="45"/>
      <c r="I15" s="49"/>
      <c r="J15" s="51" t="s">
        <v>78</v>
      </c>
      <c r="K15" s="38" t="s">
        <v>22</v>
      </c>
      <c r="L15" s="55" t="s">
        <v>79</v>
      </c>
    </row>
    <row r="16" spans="1:12" ht="29.25">
      <c r="A16" s="32">
        <v>45761</v>
      </c>
      <c r="B16" s="32"/>
      <c r="C16" s="36" t="s">
        <v>80</v>
      </c>
      <c r="D16" s="35" t="s">
        <v>13</v>
      </c>
      <c r="E16" s="35"/>
      <c r="F16" s="43" t="s">
        <v>81</v>
      </c>
      <c r="G16" s="45" t="s">
        <v>82</v>
      </c>
      <c r="H16" s="45" t="s">
        <v>83</v>
      </c>
      <c r="I16" s="46" t="s">
        <v>84</v>
      </c>
      <c r="J16" s="51" t="s">
        <v>85</v>
      </c>
      <c r="K16" s="38" t="s">
        <v>86</v>
      </c>
      <c r="L16" s="55"/>
    </row>
    <row r="17" spans="1:12">
      <c r="A17" s="32">
        <v>45775</v>
      </c>
      <c r="B17" s="32">
        <v>45762</v>
      </c>
      <c r="C17" s="36" t="s">
        <v>87</v>
      </c>
      <c r="D17" s="35" t="s">
        <v>13</v>
      </c>
      <c r="E17" s="35" t="s">
        <v>23</v>
      </c>
      <c r="F17" s="43" t="s">
        <v>88</v>
      </c>
      <c r="G17" s="45" t="s">
        <v>89</v>
      </c>
      <c r="H17" s="45"/>
      <c r="I17" s="46"/>
      <c r="J17" s="50"/>
      <c r="K17" s="38"/>
      <c r="L17" s="55"/>
    </row>
    <row r="18" spans="1:12">
      <c r="A18" s="32">
        <v>45777</v>
      </c>
      <c r="B18" s="32"/>
      <c r="C18" s="35"/>
      <c r="D18" s="35" t="s">
        <v>90</v>
      </c>
      <c r="E18" s="35"/>
      <c r="F18" s="43" t="s">
        <v>91</v>
      </c>
      <c r="G18" s="45" t="s">
        <v>92</v>
      </c>
      <c r="H18" s="45"/>
      <c r="I18" s="46"/>
      <c r="J18" s="50"/>
      <c r="K18" s="38" t="s">
        <v>22</v>
      </c>
      <c r="L18" s="55"/>
    </row>
    <row r="19" spans="1:12">
      <c r="A19" s="32">
        <v>45782</v>
      </c>
      <c r="B19" s="32"/>
      <c r="C19" s="35"/>
      <c r="D19" s="35" t="s">
        <v>93</v>
      </c>
      <c r="E19" s="35"/>
      <c r="F19" s="43" t="s">
        <v>94</v>
      </c>
      <c r="G19" s="45" t="s">
        <v>95</v>
      </c>
      <c r="H19" s="45"/>
      <c r="I19" s="46" t="s">
        <v>96</v>
      </c>
      <c r="J19" s="50"/>
      <c r="K19" s="38" t="s">
        <v>22</v>
      </c>
      <c r="L19" s="55"/>
    </row>
    <row r="20" spans="1:12">
      <c r="A20" s="32">
        <v>45790</v>
      </c>
      <c r="B20" s="32"/>
      <c r="C20" s="35"/>
      <c r="D20" s="35" t="s">
        <v>97</v>
      </c>
      <c r="E20" s="35"/>
      <c r="F20" s="43" t="s">
        <v>98</v>
      </c>
      <c r="G20" s="45"/>
      <c r="H20" s="45"/>
      <c r="I20" s="46"/>
      <c r="J20" s="50"/>
      <c r="K20" s="38" t="s">
        <v>22</v>
      </c>
      <c r="L20" s="55"/>
    </row>
    <row r="21" spans="1:12">
      <c r="A21" s="32">
        <v>45796</v>
      </c>
      <c r="B21" s="32"/>
      <c r="C21" s="35"/>
      <c r="D21" s="35" t="s">
        <v>99</v>
      </c>
      <c r="E21" s="35" t="s">
        <v>23</v>
      </c>
      <c r="F21" s="43" t="s">
        <v>94</v>
      </c>
      <c r="G21" s="45" t="s">
        <v>95</v>
      </c>
      <c r="H21" s="45"/>
      <c r="I21" s="46"/>
      <c r="J21" s="50"/>
      <c r="K21" s="38" t="s">
        <v>22</v>
      </c>
      <c r="L21" s="55"/>
    </row>
    <row r="22" spans="1:12">
      <c r="A22" s="32">
        <v>45797</v>
      </c>
      <c r="B22" s="32"/>
      <c r="C22" s="35"/>
      <c r="D22" s="35" t="s">
        <v>100</v>
      </c>
      <c r="E22" s="35" t="s">
        <v>19</v>
      </c>
      <c r="F22" s="43" t="s">
        <v>101</v>
      </c>
      <c r="G22" s="45" t="s">
        <v>102</v>
      </c>
      <c r="H22" s="45"/>
      <c r="I22" s="46" t="s">
        <v>103</v>
      </c>
      <c r="J22" s="50"/>
      <c r="K22" s="38" t="s">
        <v>22</v>
      </c>
      <c r="L22" s="55"/>
    </row>
    <row r="23" spans="1:12" ht="29.25">
      <c r="A23" s="32">
        <v>45813</v>
      </c>
      <c r="B23" s="32"/>
      <c r="C23" s="35">
        <v>1407892</v>
      </c>
      <c r="D23" s="35" t="s">
        <v>13</v>
      </c>
      <c r="E23" s="35"/>
      <c r="F23" s="43" t="s">
        <v>104</v>
      </c>
      <c r="G23" s="45" t="s">
        <v>105</v>
      </c>
      <c r="H23" s="45"/>
      <c r="I23" s="46"/>
      <c r="J23" s="51" t="s">
        <v>106</v>
      </c>
      <c r="K23" s="38" t="s">
        <v>22</v>
      </c>
      <c r="L23" s="55"/>
    </row>
    <row r="24" spans="1:12" ht="29.25">
      <c r="A24" s="32">
        <v>45882</v>
      </c>
      <c r="B24" s="32"/>
      <c r="C24" s="35">
        <v>1447652</v>
      </c>
      <c r="D24" s="35" t="s">
        <v>13</v>
      </c>
      <c r="E24" s="35"/>
      <c r="F24" s="43" t="s">
        <v>107</v>
      </c>
      <c r="G24" s="45" t="s">
        <v>108</v>
      </c>
      <c r="H24" s="45"/>
      <c r="I24" s="46"/>
      <c r="J24" s="51" t="s">
        <v>109</v>
      </c>
      <c r="K24" s="38" t="s">
        <v>22</v>
      </c>
      <c r="L24" s="55"/>
    </row>
    <row r="25" spans="1:12">
      <c r="A25" s="32">
        <v>45887</v>
      </c>
      <c r="B25" s="32"/>
      <c r="C25" s="38">
        <v>1448912</v>
      </c>
      <c r="D25" s="35" t="s">
        <v>110</v>
      </c>
      <c r="E25" s="35" t="s">
        <v>23</v>
      </c>
      <c r="F25" s="43" t="s">
        <v>111</v>
      </c>
      <c r="G25" s="45" t="s">
        <v>112</v>
      </c>
      <c r="H25" s="45" t="s">
        <v>113</v>
      </c>
      <c r="I25" s="46" t="s">
        <v>114</v>
      </c>
      <c r="J25" s="65" t="s">
        <v>115</v>
      </c>
      <c r="K25" s="38" t="s">
        <v>22</v>
      </c>
      <c r="L25" s="55"/>
    </row>
    <row r="26" spans="1:12">
      <c r="A26" s="32">
        <v>45889</v>
      </c>
      <c r="B26" s="32">
        <v>45889</v>
      </c>
      <c r="C26" s="35" t="s">
        <v>116</v>
      </c>
      <c r="D26" s="35" t="s">
        <v>117</v>
      </c>
      <c r="E26" s="35" t="s">
        <v>19</v>
      </c>
      <c r="F26" s="43" t="s">
        <v>118</v>
      </c>
      <c r="G26" s="45" t="s">
        <v>119</v>
      </c>
      <c r="H26" s="45" t="s">
        <v>120</v>
      </c>
      <c r="I26" s="46" t="s">
        <v>121</v>
      </c>
      <c r="J26" s="50"/>
      <c r="K26" s="38" t="s">
        <v>22</v>
      </c>
      <c r="L26" s="55"/>
    </row>
    <row r="27" spans="1:12">
      <c r="A27" s="32">
        <v>45897</v>
      </c>
      <c r="B27" s="32">
        <v>45898</v>
      </c>
      <c r="C27" s="35" t="s">
        <v>116</v>
      </c>
      <c r="D27" s="35" t="s">
        <v>117</v>
      </c>
      <c r="E27" s="35"/>
      <c r="F27" s="43" t="s">
        <v>122</v>
      </c>
      <c r="G27" s="45" t="s">
        <v>123</v>
      </c>
      <c r="H27" s="45" t="s">
        <v>124</v>
      </c>
      <c r="I27" s="46" t="s">
        <v>125</v>
      </c>
      <c r="J27" s="50"/>
      <c r="K27" s="38" t="s">
        <v>22</v>
      </c>
      <c r="L27" s="55"/>
    </row>
    <row r="28" spans="1:12" ht="57.75">
      <c r="A28" s="32">
        <v>45902</v>
      </c>
      <c r="B28" s="32" t="s">
        <v>126</v>
      </c>
      <c r="C28" s="35" t="s">
        <v>116</v>
      </c>
      <c r="D28" s="35" t="s">
        <v>117</v>
      </c>
      <c r="E28" s="35"/>
      <c r="F28" s="43" t="s">
        <v>127</v>
      </c>
      <c r="G28" s="45" t="s">
        <v>128</v>
      </c>
      <c r="H28" s="45" t="s">
        <v>129</v>
      </c>
      <c r="I28" s="46"/>
      <c r="J28" s="50"/>
      <c r="K28" s="38"/>
      <c r="L28" s="55" t="s">
        <v>130</v>
      </c>
    </row>
    <row r="29" spans="1:12">
      <c r="A29" s="32">
        <v>45904</v>
      </c>
      <c r="B29" s="32" t="s">
        <v>131</v>
      </c>
      <c r="C29" s="35" t="s">
        <v>116</v>
      </c>
      <c r="D29" s="35" t="s">
        <v>99</v>
      </c>
      <c r="E29" s="35"/>
      <c r="F29" s="43" t="s">
        <v>132</v>
      </c>
      <c r="G29" s="45" t="s">
        <v>133</v>
      </c>
      <c r="H29" s="45" t="s">
        <v>134</v>
      </c>
      <c r="I29" s="46"/>
      <c r="J29" s="50"/>
      <c r="K29" s="38" t="s">
        <v>22</v>
      </c>
      <c r="L29" s="55"/>
    </row>
    <row r="30" spans="1:12">
      <c r="A30" s="32">
        <v>45909</v>
      </c>
      <c r="B30" s="32" t="s">
        <v>135</v>
      </c>
      <c r="C30" s="35" t="s">
        <v>116</v>
      </c>
      <c r="D30" s="35" t="s">
        <v>99</v>
      </c>
      <c r="E30" s="35"/>
      <c r="F30" s="43" t="s">
        <v>136</v>
      </c>
      <c r="G30" s="45" t="s">
        <v>133</v>
      </c>
      <c r="H30" s="45"/>
      <c r="I30" s="46"/>
      <c r="J30" s="50"/>
      <c r="K30" s="38" t="s">
        <v>22</v>
      </c>
      <c r="L30" s="55"/>
    </row>
    <row r="31" spans="1:12">
      <c r="A31" s="32">
        <v>45922</v>
      </c>
      <c r="B31" s="32" t="s">
        <v>137</v>
      </c>
      <c r="C31" s="35" t="s">
        <v>138</v>
      </c>
      <c r="D31" s="40" t="s">
        <v>73</v>
      </c>
      <c r="E31" s="37" t="s">
        <v>23</v>
      </c>
      <c r="F31" s="43" t="s">
        <v>139</v>
      </c>
      <c r="G31" s="45" t="s">
        <v>140</v>
      </c>
      <c r="H31" s="45"/>
      <c r="I31" s="46"/>
      <c r="J31" s="50"/>
      <c r="K31" s="38" t="s">
        <v>22</v>
      </c>
      <c r="L31" s="55"/>
    </row>
    <row r="32" spans="1:12">
      <c r="A32" s="32">
        <v>45923</v>
      </c>
      <c r="B32" s="32">
        <v>45923</v>
      </c>
      <c r="C32" s="35" t="s">
        <v>116</v>
      </c>
      <c r="D32" s="35" t="s">
        <v>99</v>
      </c>
      <c r="E32" s="35"/>
      <c r="F32" s="43" t="s">
        <v>136</v>
      </c>
      <c r="G32" s="45" t="s">
        <v>141</v>
      </c>
      <c r="H32" s="45" t="s">
        <v>142</v>
      </c>
      <c r="I32" s="46"/>
      <c r="J32" s="50"/>
      <c r="K32" s="38" t="s">
        <v>22</v>
      </c>
      <c r="L32" s="55"/>
    </row>
    <row r="33" spans="1:12">
      <c r="A33" s="32">
        <v>45923</v>
      </c>
      <c r="B33" s="32" t="s">
        <v>137</v>
      </c>
      <c r="C33" s="35" t="s">
        <v>138</v>
      </c>
      <c r="D33" s="41" t="s">
        <v>143</v>
      </c>
      <c r="E33" s="35" t="s">
        <v>23</v>
      </c>
      <c r="F33" s="43" t="s">
        <v>139</v>
      </c>
      <c r="G33" s="45" t="s">
        <v>140</v>
      </c>
      <c r="H33" s="45"/>
      <c r="I33" s="46"/>
      <c r="J33" s="50"/>
      <c r="K33" s="38" t="s">
        <v>22</v>
      </c>
      <c r="L33" s="55"/>
    </row>
    <row r="34" spans="1:12" ht="29.25">
      <c r="A34" s="32">
        <v>45925</v>
      </c>
      <c r="B34" s="34"/>
      <c r="C34" s="35">
        <v>1475238</v>
      </c>
      <c r="D34" s="35" t="s">
        <v>13</v>
      </c>
      <c r="E34" s="35"/>
      <c r="F34" s="43" t="s">
        <v>144</v>
      </c>
      <c r="G34" s="45" t="s">
        <v>145</v>
      </c>
      <c r="H34" s="45"/>
      <c r="I34" s="46"/>
      <c r="J34" s="51" t="s">
        <v>146</v>
      </c>
      <c r="K34" s="38"/>
      <c r="L34" s="55"/>
    </row>
    <row r="35" spans="1:12">
      <c r="A35" s="32">
        <v>45938</v>
      </c>
      <c r="B35" s="32"/>
      <c r="C35" s="35" t="s">
        <v>147</v>
      </c>
      <c r="D35" s="42" t="s">
        <v>148</v>
      </c>
      <c r="E35" s="35" t="s">
        <v>19</v>
      </c>
      <c r="F35" s="43" t="s">
        <v>149</v>
      </c>
      <c r="G35" s="45" t="s">
        <v>150</v>
      </c>
      <c r="H35" s="45" t="s">
        <v>151</v>
      </c>
      <c r="I35" s="46" t="s">
        <v>152</v>
      </c>
      <c r="J35" s="50"/>
      <c r="K35" s="38" t="s">
        <v>22</v>
      </c>
      <c r="L35" s="55"/>
    </row>
    <row r="36" spans="1:12" ht="29.25">
      <c r="A36" s="32">
        <v>45944</v>
      </c>
      <c r="B36" s="32">
        <v>45951</v>
      </c>
      <c r="C36" s="35">
        <v>1489741</v>
      </c>
      <c r="D36" s="35" t="s">
        <v>153</v>
      </c>
      <c r="E36" s="35"/>
      <c r="F36" s="43" t="s">
        <v>154</v>
      </c>
      <c r="G36" s="45" t="s">
        <v>155</v>
      </c>
      <c r="H36" s="45" t="s">
        <v>156</v>
      </c>
      <c r="I36" s="46"/>
      <c r="J36" s="51" t="s">
        <v>157</v>
      </c>
      <c r="K36" s="38" t="s">
        <v>22</v>
      </c>
      <c r="L36" s="55" t="s">
        <v>158</v>
      </c>
    </row>
    <row r="37" spans="1:12">
      <c r="A37" s="32">
        <v>45947</v>
      </c>
      <c r="B37" s="32"/>
      <c r="C37" s="39">
        <v>1489826</v>
      </c>
      <c r="D37" s="35" t="s">
        <v>99</v>
      </c>
      <c r="E37" s="35" t="s">
        <v>19</v>
      </c>
      <c r="F37" s="43" t="s">
        <v>149</v>
      </c>
      <c r="G37" s="45" t="s">
        <v>159</v>
      </c>
      <c r="H37" s="45" t="s">
        <v>160</v>
      </c>
      <c r="I37" s="46" t="s">
        <v>161</v>
      </c>
      <c r="J37" s="53" t="s">
        <v>162</v>
      </c>
      <c r="K37" s="38" t="s">
        <v>22</v>
      </c>
      <c r="L37" s="55"/>
    </row>
    <row r="38" spans="1:12">
      <c r="A38" s="33">
        <v>45967</v>
      </c>
      <c r="B38" s="33">
        <v>45967</v>
      </c>
      <c r="C38" s="38" t="s">
        <v>33</v>
      </c>
      <c r="D38" s="38" t="s">
        <v>163</v>
      </c>
      <c r="E38" s="38" t="s">
        <v>23</v>
      </c>
      <c r="F38" s="43" t="s">
        <v>164</v>
      </c>
      <c r="G38" s="46" t="s">
        <v>165</v>
      </c>
      <c r="H38" s="47" t="s">
        <v>166</v>
      </c>
      <c r="I38" s="46" t="s">
        <v>167</v>
      </c>
      <c r="J38" s="50"/>
      <c r="K38" s="38" t="s">
        <v>22</v>
      </c>
      <c r="L38" s="55"/>
    </row>
    <row r="39" spans="1:12">
      <c r="A39" s="32">
        <v>45975</v>
      </c>
      <c r="B39" s="32" t="s">
        <v>168</v>
      </c>
      <c r="C39" s="35">
        <v>1507861</v>
      </c>
      <c r="D39" s="35" t="s">
        <v>169</v>
      </c>
      <c r="E39" s="35" t="s">
        <v>19</v>
      </c>
      <c r="F39" s="43" t="s">
        <v>170</v>
      </c>
      <c r="G39" s="45" t="s">
        <v>171</v>
      </c>
      <c r="H39" s="45" t="s">
        <v>172</v>
      </c>
      <c r="I39" s="46" t="s">
        <v>173</v>
      </c>
      <c r="J39" s="53" t="s">
        <v>174</v>
      </c>
      <c r="K39" s="38" t="s">
        <v>22</v>
      </c>
      <c r="L39" s="55"/>
    </row>
    <row r="40" spans="1:12">
      <c r="A40" s="32">
        <v>45978</v>
      </c>
      <c r="B40" s="32" t="s">
        <v>175</v>
      </c>
      <c r="C40" s="35" t="s">
        <v>176</v>
      </c>
      <c r="D40" s="35" t="s">
        <v>177</v>
      </c>
      <c r="E40" s="35" t="s">
        <v>23</v>
      </c>
      <c r="F40" s="43" t="s">
        <v>178</v>
      </c>
      <c r="G40" s="45" t="s">
        <v>179</v>
      </c>
      <c r="H40" s="45" t="s">
        <v>180</v>
      </c>
      <c r="I40" s="46" t="s">
        <v>181</v>
      </c>
      <c r="J40" s="50"/>
      <c r="K40" s="38" t="s">
        <v>182</v>
      </c>
      <c r="L40" s="55"/>
    </row>
    <row r="41" spans="1:12">
      <c r="A41" s="32">
        <v>45983</v>
      </c>
      <c r="B41" s="34">
        <v>0.64583333333333337</v>
      </c>
      <c r="C41" s="35" t="s">
        <v>183</v>
      </c>
      <c r="D41" s="35" t="s">
        <v>184</v>
      </c>
      <c r="E41" s="35" t="s">
        <v>23</v>
      </c>
      <c r="F41" s="43" t="s">
        <v>185</v>
      </c>
      <c r="G41" s="46" t="s">
        <v>186</v>
      </c>
      <c r="H41" s="45" t="s">
        <v>187</v>
      </c>
      <c r="I41" s="46" t="s">
        <v>188</v>
      </c>
      <c r="J41" s="53" t="s">
        <v>189</v>
      </c>
      <c r="K41" s="38" t="s">
        <v>22</v>
      </c>
      <c r="L41" s="55"/>
    </row>
    <row r="42" spans="1:12">
      <c r="A42" s="32">
        <v>45986</v>
      </c>
      <c r="B42" s="34">
        <v>0.41666666666666669</v>
      </c>
      <c r="C42" s="35" t="s">
        <v>33</v>
      </c>
      <c r="D42" s="35" t="s">
        <v>190</v>
      </c>
      <c r="E42" s="35" t="s">
        <v>23</v>
      </c>
      <c r="F42" s="43" t="s">
        <v>191</v>
      </c>
      <c r="G42" s="46" t="s">
        <v>192</v>
      </c>
      <c r="H42" s="48" t="s">
        <v>193</v>
      </c>
      <c r="I42" s="46" t="s">
        <v>194</v>
      </c>
      <c r="J42" s="50" t="s">
        <v>33</v>
      </c>
      <c r="K42" s="38" t="s">
        <v>22</v>
      </c>
      <c r="L42" s="55"/>
    </row>
    <row r="43" spans="1:12" ht="72.75">
      <c r="A43" s="32">
        <v>45996</v>
      </c>
      <c r="B43" s="34">
        <v>0.40625</v>
      </c>
      <c r="C43" s="35" t="s">
        <v>195</v>
      </c>
      <c r="D43" s="35" t="s">
        <v>34</v>
      </c>
      <c r="E43" s="35" t="s">
        <v>23</v>
      </c>
      <c r="F43" s="43" t="s">
        <v>196</v>
      </c>
      <c r="G43" s="45" t="s">
        <v>197</v>
      </c>
      <c r="H43" s="50" t="s">
        <v>198</v>
      </c>
      <c r="I43" s="46" t="s">
        <v>199</v>
      </c>
      <c r="J43" s="53" t="s">
        <v>200</v>
      </c>
      <c r="K43" s="38" t="s">
        <v>182</v>
      </c>
      <c r="L43" s="55"/>
    </row>
    <row r="44" spans="1:12">
      <c r="A44" s="32">
        <v>45999</v>
      </c>
      <c r="B44" s="32"/>
      <c r="C44" s="35"/>
      <c r="D44" s="35" t="s">
        <v>110</v>
      </c>
      <c r="E44" s="35" t="s">
        <v>23</v>
      </c>
      <c r="F44" s="43" t="s">
        <v>201</v>
      </c>
      <c r="G44" s="45" t="s">
        <v>112</v>
      </c>
      <c r="H44" s="45"/>
      <c r="I44" s="46"/>
      <c r="J44" s="50"/>
      <c r="K44" s="38" t="s">
        <v>22</v>
      </c>
      <c r="L44" s="55"/>
    </row>
    <row r="45" spans="1:12">
      <c r="A45" s="32">
        <v>46003</v>
      </c>
      <c r="B45" s="34">
        <v>0.65972222222222221</v>
      </c>
      <c r="C45" s="35" t="s">
        <v>33</v>
      </c>
      <c r="D45" s="35" t="s">
        <v>190</v>
      </c>
      <c r="E45" s="35" t="s">
        <v>23</v>
      </c>
      <c r="F45" s="43" t="s">
        <v>202</v>
      </c>
      <c r="G45" s="45" t="s">
        <v>203</v>
      </c>
      <c r="H45" s="45" t="s">
        <v>204</v>
      </c>
      <c r="I45" s="46" t="s">
        <v>205</v>
      </c>
      <c r="J45" s="50"/>
      <c r="K45" s="38" t="s">
        <v>22</v>
      </c>
      <c r="L45" s="55"/>
    </row>
    <row r="46" spans="1:12">
      <c r="A46" s="32">
        <v>46010</v>
      </c>
      <c r="B46" s="34">
        <v>0.70833333333333337</v>
      </c>
      <c r="C46" s="35" t="s">
        <v>33</v>
      </c>
      <c r="D46" s="35" t="s">
        <v>206</v>
      </c>
      <c r="E46" s="35" t="s">
        <v>19</v>
      </c>
      <c r="F46" s="43" t="s">
        <v>207</v>
      </c>
      <c r="G46" s="45" t="s">
        <v>208</v>
      </c>
      <c r="H46" s="45"/>
      <c r="I46" s="46"/>
      <c r="J46" s="52" t="s">
        <v>209</v>
      </c>
      <c r="K46" s="38" t="s">
        <v>22</v>
      </c>
      <c r="L46" s="55"/>
    </row>
    <row r="47" spans="1:12">
      <c r="A47" s="32">
        <v>46017</v>
      </c>
      <c r="B47" s="34">
        <v>0.375</v>
      </c>
      <c r="C47" s="35" t="s">
        <v>210</v>
      </c>
      <c r="D47" s="35" t="s">
        <v>211</v>
      </c>
      <c r="E47" s="35" t="s">
        <v>23</v>
      </c>
      <c r="F47" s="43" t="s">
        <v>212</v>
      </c>
      <c r="G47" s="45" t="s">
        <v>213</v>
      </c>
      <c r="H47" s="45" t="s">
        <v>214</v>
      </c>
      <c r="I47" s="46"/>
      <c r="J47" s="52" t="s">
        <v>215</v>
      </c>
      <c r="K47" s="38" t="s">
        <v>22</v>
      </c>
      <c r="L47" s="55"/>
    </row>
    <row r="48" spans="1:12">
      <c r="A48" s="32">
        <v>46073</v>
      </c>
      <c r="B48" s="32"/>
      <c r="C48" s="35">
        <v>1561082</v>
      </c>
      <c r="D48" s="35" t="s">
        <v>211</v>
      </c>
      <c r="E48" s="35" t="s">
        <v>23</v>
      </c>
      <c r="F48" s="44"/>
      <c r="G48" s="64"/>
      <c r="H48" s="45"/>
      <c r="I48" s="46"/>
      <c r="J48" s="45"/>
      <c r="K48" s="35"/>
      <c r="L48" s="46"/>
    </row>
    <row r="49" spans="1:12">
      <c r="A49" s="32">
        <v>46083</v>
      </c>
      <c r="B49" s="34">
        <v>0.54166666666666663</v>
      </c>
      <c r="C49" s="35"/>
      <c r="D49" s="35" t="s">
        <v>211</v>
      </c>
      <c r="E49" s="35" t="s">
        <v>23</v>
      </c>
      <c r="F49" s="43"/>
      <c r="G49" s="45"/>
      <c r="H49" s="45"/>
      <c r="I49" s="46"/>
      <c r="J49" s="50"/>
      <c r="K49" s="38" t="s">
        <v>22</v>
      </c>
      <c r="L49" s="55"/>
    </row>
    <row r="50" spans="1:12" ht="29.25">
      <c r="A50" s="32">
        <v>46085</v>
      </c>
      <c r="B50" s="34">
        <v>0.58333333333333337</v>
      </c>
      <c r="C50" s="35">
        <v>1568067</v>
      </c>
      <c r="D50" s="35" t="s">
        <v>148</v>
      </c>
      <c r="E50" s="35" t="s">
        <v>216</v>
      </c>
      <c r="F50" s="43" t="s">
        <v>217</v>
      </c>
      <c r="G50" s="45" t="s">
        <v>218</v>
      </c>
      <c r="H50" s="45" t="s">
        <v>219</v>
      </c>
      <c r="I50" s="46" t="s">
        <v>220</v>
      </c>
      <c r="J50" s="53" t="s">
        <v>221</v>
      </c>
      <c r="K50" s="38" t="s">
        <v>114</v>
      </c>
      <c r="L50" s="55"/>
    </row>
    <row r="51" spans="1:12" ht="115.5">
      <c r="A51" s="32">
        <v>46107.027777777781</v>
      </c>
      <c r="B51" s="34"/>
      <c r="C51" s="35">
        <v>1582722</v>
      </c>
      <c r="D51" s="35" t="s">
        <v>148</v>
      </c>
      <c r="E51" s="35" t="s">
        <v>23</v>
      </c>
      <c r="F51" s="43" t="s">
        <v>222</v>
      </c>
      <c r="G51" s="55" t="s">
        <v>223</v>
      </c>
      <c r="H51" s="50" t="s">
        <v>224</v>
      </c>
      <c r="I51" s="46" t="s">
        <v>225</v>
      </c>
      <c r="J51" s="53" t="s">
        <v>226</v>
      </c>
      <c r="K51" s="38" t="s">
        <v>114</v>
      </c>
      <c r="L51" s="55"/>
    </row>
    <row r="52" spans="1:12" ht="29.25">
      <c r="A52" s="32">
        <v>46126.52847222222</v>
      </c>
      <c r="B52" s="34"/>
      <c r="C52" s="35">
        <v>1594770</v>
      </c>
      <c r="D52" s="35" t="s">
        <v>148</v>
      </c>
      <c r="E52" s="35" t="s">
        <v>23</v>
      </c>
      <c r="F52" s="43" t="s">
        <v>227</v>
      </c>
      <c r="G52" s="45" t="s">
        <v>228</v>
      </c>
      <c r="H52" s="45" t="s">
        <v>229</v>
      </c>
      <c r="I52" s="46" t="s">
        <v>230</v>
      </c>
      <c r="J52" s="53" t="s">
        <v>231</v>
      </c>
      <c r="K52" s="38" t="s">
        <v>114</v>
      </c>
      <c r="L52" s="55"/>
    </row>
    <row r="53" spans="1:12" ht="72.75">
      <c r="A53" s="32">
        <v>46132</v>
      </c>
      <c r="B53" s="34">
        <v>0.60416666666666663</v>
      </c>
      <c r="C53" s="35">
        <v>1599127</v>
      </c>
      <c r="D53" s="35" t="s">
        <v>153</v>
      </c>
      <c r="E53" s="35" t="s">
        <v>19</v>
      </c>
      <c r="F53" s="43" t="s">
        <v>232</v>
      </c>
      <c r="G53" s="50" t="s">
        <v>233</v>
      </c>
      <c r="H53" s="45" t="s">
        <v>172</v>
      </c>
      <c r="I53" s="46" t="s">
        <v>234</v>
      </c>
      <c r="J53" s="53" t="s">
        <v>235</v>
      </c>
      <c r="K53" s="38" t="s">
        <v>114</v>
      </c>
      <c r="L53" s="55"/>
    </row>
    <row r="54" spans="1:12">
      <c r="A54" s="32">
        <v>46135</v>
      </c>
      <c r="B54" s="34">
        <v>0.45833333333333331</v>
      </c>
      <c r="C54" s="35">
        <v>1601862</v>
      </c>
      <c r="D54" s="35" t="s">
        <v>163</v>
      </c>
      <c r="E54" s="35" t="s">
        <v>23</v>
      </c>
      <c r="F54" s="43" t="s">
        <v>222</v>
      </c>
      <c r="G54" s="45" t="s">
        <v>236</v>
      </c>
      <c r="H54" s="45"/>
      <c r="I54" s="46"/>
      <c r="J54" s="50"/>
      <c r="K54" s="38" t="s">
        <v>114</v>
      </c>
      <c r="L54" s="55"/>
    </row>
    <row r="55" spans="1:12">
      <c r="A55" s="32">
        <v>46136.361111111109</v>
      </c>
      <c r="B55" s="34"/>
      <c r="C55" s="35"/>
      <c r="D55" s="35" t="s">
        <v>34</v>
      </c>
      <c r="E55" s="35" t="s">
        <v>237</v>
      </c>
      <c r="F55" s="43"/>
      <c r="G55" s="45"/>
      <c r="H55" s="45" t="s">
        <v>238</v>
      </c>
      <c r="I55" s="46"/>
      <c r="J55" s="50"/>
      <c r="K55" s="38" t="s">
        <v>239</v>
      </c>
      <c r="L55" s="55"/>
    </row>
    <row r="56" spans="1:12">
      <c r="A56" s="32">
        <v>46136.462500000001</v>
      </c>
      <c r="B56" s="34"/>
      <c r="C56" s="35">
        <v>1602774</v>
      </c>
      <c r="D56" s="35" t="s">
        <v>148</v>
      </c>
      <c r="E56" s="35" t="s">
        <v>23</v>
      </c>
      <c r="F56" s="43" t="s">
        <v>240</v>
      </c>
      <c r="G56" s="45" t="s">
        <v>241</v>
      </c>
      <c r="H56" s="65" t="s">
        <v>242</v>
      </c>
      <c r="I56" s="46" t="s">
        <v>243</v>
      </c>
      <c r="J56" s="50"/>
      <c r="K56" s="38" t="s">
        <v>114</v>
      </c>
      <c r="L56" s="55"/>
    </row>
    <row r="57" spans="1:12">
      <c r="A57" s="32">
        <v>46136.75</v>
      </c>
      <c r="B57" s="34"/>
      <c r="C57" s="35">
        <v>1603288</v>
      </c>
      <c r="D57" s="35" t="s">
        <v>148</v>
      </c>
      <c r="E57" s="35" t="s">
        <v>23</v>
      </c>
      <c r="F57" s="44" t="s">
        <v>244</v>
      </c>
      <c r="G57" s="45" t="s">
        <v>245</v>
      </c>
      <c r="H57" s="45"/>
      <c r="I57" s="68" t="s">
        <v>246</v>
      </c>
      <c r="J57" s="48" t="s">
        <v>247</v>
      </c>
      <c r="K57" s="35" t="s">
        <v>114</v>
      </c>
      <c r="L57" s="46"/>
    </row>
    <row r="58" spans="1:12">
      <c r="A58" s="32">
        <v>46140</v>
      </c>
      <c r="B58" s="34">
        <v>0.49305555555555558</v>
      </c>
      <c r="C58" s="35">
        <v>1605072</v>
      </c>
      <c r="D58" s="35" t="s">
        <v>248</v>
      </c>
      <c r="E58" s="35" t="s">
        <v>23</v>
      </c>
      <c r="F58" s="44" t="s">
        <v>240</v>
      </c>
      <c r="G58" s="45"/>
      <c r="H58" s="69" t="s">
        <v>249</v>
      </c>
      <c r="J58" s="45"/>
      <c r="K58" s="35"/>
      <c r="L58" s="46"/>
    </row>
    <row r="59" spans="1:12">
      <c r="A59" s="32">
        <v>46149.548611111109</v>
      </c>
      <c r="B59" s="34"/>
      <c r="C59" s="35">
        <v>1611003</v>
      </c>
      <c r="D59" s="35" t="s">
        <v>148</v>
      </c>
      <c r="E59" s="35" t="s">
        <v>23</v>
      </c>
      <c r="F59" s="44" t="s">
        <v>250</v>
      </c>
      <c r="G59" s="45" t="s">
        <v>251</v>
      </c>
      <c r="H59" s="45"/>
      <c r="I59" s="46"/>
      <c r="J59" s="48" t="s">
        <v>252</v>
      </c>
      <c r="K59" s="35" t="s">
        <v>114</v>
      </c>
      <c r="L59" s="46" t="s">
        <v>253</v>
      </c>
    </row>
    <row r="60" spans="1:12" ht="72.75">
      <c r="A60" s="32">
        <v>46149.53125</v>
      </c>
      <c r="B60" s="34"/>
      <c r="C60" s="35">
        <v>1610950</v>
      </c>
      <c r="D60" s="35" t="s">
        <v>148</v>
      </c>
      <c r="E60" s="35" t="s">
        <v>254</v>
      </c>
      <c r="F60" s="44" t="s">
        <v>255</v>
      </c>
      <c r="G60" s="45" t="s">
        <v>256</v>
      </c>
      <c r="H60" s="50" t="s">
        <v>257</v>
      </c>
      <c r="I60" s="46"/>
      <c r="J60" s="48" t="s">
        <v>258</v>
      </c>
      <c r="K60" s="35" t="s">
        <v>239</v>
      </c>
      <c r="L60" s="46"/>
    </row>
    <row r="61" spans="1:12">
      <c r="A61" s="32">
        <v>46150.395833333336</v>
      </c>
      <c r="B61" s="67">
        <v>46149.770833333336</v>
      </c>
      <c r="C61" s="35">
        <v>1611581</v>
      </c>
      <c r="D61" s="35" t="s">
        <v>153</v>
      </c>
      <c r="E61" s="35" t="s">
        <v>19</v>
      </c>
      <c r="F61" s="13" t="s">
        <v>259</v>
      </c>
      <c r="G61" s="45" t="s">
        <v>260</v>
      </c>
      <c r="H61" s="45" t="s">
        <v>261</v>
      </c>
      <c r="I61" s="46"/>
      <c r="J61" s="65" t="s">
        <v>262</v>
      </c>
      <c r="K61" s="38" t="s">
        <v>239</v>
      </c>
      <c r="L61" s="55"/>
    </row>
    <row r="62" spans="1:12">
      <c r="A62" s="32">
        <v>46153</v>
      </c>
      <c r="B62" s="34"/>
      <c r="C62" s="35">
        <v>1611581</v>
      </c>
      <c r="D62" s="35" t="s">
        <v>153</v>
      </c>
      <c r="E62" s="35" t="s">
        <v>19</v>
      </c>
      <c r="F62" s="13" t="s">
        <v>259</v>
      </c>
      <c r="G62" s="45" t="s">
        <v>263</v>
      </c>
      <c r="H62" s="45"/>
      <c r="I62" s="46"/>
      <c r="J62" s="50"/>
      <c r="K62" s="38"/>
      <c r="L62" s="55"/>
    </row>
    <row r="63" spans="1:12" ht="17.25">
      <c r="A63" s="32">
        <v>46168</v>
      </c>
      <c r="B63" s="34"/>
      <c r="C63" s="70">
        <v>1623282</v>
      </c>
      <c r="D63" s="35" t="s">
        <v>264</v>
      </c>
      <c r="E63" s="35" t="s">
        <v>19</v>
      </c>
      <c r="F63" s="43" t="s">
        <v>265</v>
      </c>
      <c r="G63" s="45"/>
      <c r="H63" s="45"/>
      <c r="I63" s="46"/>
      <c r="J63" s="50"/>
      <c r="K63" s="38"/>
      <c r="L63" s="55"/>
    </row>
  </sheetData>
  <hyperlinks>
    <hyperlink ref="L10" r:id="rId1" xr:uid="{271D9171-BEC8-4B0D-9EA0-D599A2228F81}"/>
    <hyperlink ref="L8" r:id="rId2" xr:uid="{6C2BD5C6-6DC6-40B7-BE37-B6C6C2DAA7A8}"/>
    <hyperlink ref="J10" r:id="rId3" xr:uid="{4433B91B-87E6-4FAC-A932-91947E42E859}"/>
    <hyperlink ref="J8" r:id="rId4" xr:uid="{80A0E4A7-6418-423A-BDB9-138EAF1211D4}"/>
    <hyperlink ref="C11" r:id="rId5" xr:uid="{79EF7A21-5335-4450-96C5-5C9787F49F27}"/>
    <hyperlink ref="C9" r:id="rId6" xr:uid="{89112527-9C27-4E20-9F5F-E2377A7BBC87}"/>
    <hyperlink ref="J15" r:id="rId7" xr:uid="{CF0EC051-F2AD-4BC4-8CEB-F8C688455C3F}"/>
    <hyperlink ref="C15" r:id="rId8" display="https://asijira.buenosaires.gob.ar/browse/APPXROAD-1315" xr:uid="{78247016-22B4-40C3-94AD-5375573C3AA1}"/>
    <hyperlink ref="C17" r:id="rId9" display="https://asijira.buenosaires.gob.ar/browse/APPXROAD-1320" xr:uid="{E46B963A-97F4-4DFC-9F58-B6D2347715DB}"/>
    <hyperlink ref="J16" r:id="rId10" xr:uid="{79C92140-5E54-46DF-8B56-BB396FC603D9}"/>
    <hyperlink ref="L2" r:id="rId11" xr:uid="{E52FDC4A-5CC8-41A1-A806-B33E88B7218B}"/>
    <hyperlink ref="J23" r:id="rId12" xr:uid="{1B847D27-0296-4079-87F7-266B6BB3B35B}"/>
    <hyperlink ref="J24" r:id="rId13" xr:uid="{C978E28B-828F-46E9-B4E4-67F302DC2F36}"/>
    <hyperlink ref="D31" r:id="rId14" display="APPXROAD-1386" xr:uid="{65AE3D11-8ADD-4798-9697-52DBBEF33FD1}"/>
    <hyperlink ref="J34" r:id="rId15" xr:uid="{3F6FCE93-F4CF-452A-8872-DC71B84A80AD}"/>
    <hyperlink ref="J36" r:id="rId16" xr:uid="{D20F3B19-96EC-408A-921E-C1A798A405F7}"/>
    <hyperlink ref="H42" r:id="rId17" xr:uid="{492D9F7B-E84D-4CF7-A739-AC9643313ABD}"/>
    <hyperlink ref="J53" r:id="rId18" xr:uid="{BF1972D1-0685-4502-9256-AF35D72165D1}"/>
    <hyperlink ref="J52" r:id="rId19" xr:uid="{E4DA1607-6943-49B0-88B4-9853D2DFD160}"/>
    <hyperlink ref="J51" r:id="rId20" xr:uid="{CB65D8AD-CC76-46E1-8537-D495515BD279}"/>
    <hyperlink ref="J50" r:id="rId21" xr:uid="{2117E947-E38F-47D1-92B9-4189ACE34B7B}"/>
    <hyperlink ref="H56" r:id="rId22" xr:uid="{24DD7EDE-6A0A-4DC9-A8B8-D5120614A322}"/>
    <hyperlink ref="J37" r:id="rId23" xr:uid="{8096BB90-D749-4E43-9BC5-B7C8B6153002}"/>
    <hyperlink ref="J39" r:id="rId24" xr:uid="{D33EF209-BFA0-48C3-90C1-8FB32D158F37}"/>
    <hyperlink ref="J41" r:id="rId25" xr:uid="{FFBDDCD7-E7F0-49A7-A9C3-1929098BB6A7}"/>
    <hyperlink ref="J43" r:id="rId26" xr:uid="{05876522-3599-460E-8020-1F47CFBD490A}"/>
    <hyperlink ref="J25" r:id="rId27" xr:uid="{731D2A9C-59B2-4D8C-B297-A7F28009C40B}"/>
    <hyperlink ref="J57" r:id="rId28" xr:uid="{B209FF26-FA63-43C4-A9D8-03BA64BCC56D}"/>
    <hyperlink ref="J59" r:id="rId29" xr:uid="{A7B8C6B7-62C4-4034-A9DE-BD49EA0BF460}"/>
    <hyperlink ref="J60" r:id="rId30" xr:uid="{EC4FDB68-E67B-404A-9817-6888409826B4}"/>
    <hyperlink ref="J61" r:id="rId31" xr:uid="{43EB7F98-6BC9-41DF-AB35-86435915CF13}"/>
  </hyperlinks>
  <pageMargins left="0.7" right="0.7" top="0.75" bottom="0.75" header="0.3" footer="0.3"/>
  <tableParts count="1">
    <tablePart r:id="rId3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opLeftCell="A3" workbookViewId="0">
      <selection activeCell="G15" sqref="G15"/>
    </sheetView>
  </sheetViews>
  <sheetFormatPr defaultRowHeight="15"/>
  <cols>
    <col min="1" max="1" width="19.28515625" style="6" customWidth="1"/>
    <col min="2" max="2" width="19.85546875" customWidth="1"/>
    <col min="3" max="3" width="21.85546875" customWidth="1"/>
    <col min="4" max="4" width="30.85546875" customWidth="1"/>
    <col min="5" max="5" width="48.42578125" customWidth="1"/>
    <col min="6" max="6" width="14.5703125" customWidth="1"/>
    <col min="7" max="7" width="20.28515625" customWidth="1"/>
    <col min="8" max="8" width="14.85546875" customWidth="1"/>
    <col min="9" max="9" width="23.42578125" customWidth="1"/>
  </cols>
  <sheetData>
    <row r="1" spans="1:9" ht="17.25" customHeight="1">
      <c r="A1" s="5" t="s">
        <v>266</v>
      </c>
      <c r="B1" s="1" t="s">
        <v>267</v>
      </c>
      <c r="C1" s="1" t="s">
        <v>268</v>
      </c>
      <c r="D1" s="1" t="s">
        <v>269</v>
      </c>
      <c r="E1" s="1" t="s">
        <v>270</v>
      </c>
      <c r="F1" s="1" t="s">
        <v>271</v>
      </c>
      <c r="G1" s="1" t="s">
        <v>272</v>
      </c>
      <c r="H1" s="1" t="s">
        <v>273</v>
      </c>
      <c r="I1" s="1" t="s">
        <v>274</v>
      </c>
    </row>
    <row r="2" spans="1:9" ht="29.25">
      <c r="A2" s="21" t="s">
        <v>33</v>
      </c>
      <c r="B2" s="19" t="s">
        <v>275</v>
      </c>
      <c r="C2" s="19" t="s">
        <v>33</v>
      </c>
      <c r="D2" s="20" t="s">
        <v>276</v>
      </c>
      <c r="E2" s="20" t="s">
        <v>277</v>
      </c>
      <c r="F2" s="13" t="s">
        <v>278</v>
      </c>
      <c r="G2" s="27"/>
      <c r="H2" s="19" t="s">
        <v>279</v>
      </c>
      <c r="I2" s="20" t="s">
        <v>280</v>
      </c>
    </row>
    <row r="3" spans="1:9" ht="72.75">
      <c r="A3" s="26">
        <v>45687</v>
      </c>
      <c r="B3" s="24">
        <v>1339159</v>
      </c>
      <c r="C3" s="24" t="s">
        <v>281</v>
      </c>
      <c r="D3" s="20" t="s">
        <v>282</v>
      </c>
      <c r="E3" s="20" t="s">
        <v>283</v>
      </c>
      <c r="F3" s="20" t="s">
        <v>284</v>
      </c>
      <c r="G3" s="28" t="s">
        <v>285</v>
      </c>
      <c r="H3" s="24" t="s">
        <v>86</v>
      </c>
      <c r="I3" s="20" t="s">
        <v>286</v>
      </c>
    </row>
    <row r="4" spans="1:9" ht="29.25">
      <c r="A4" s="21">
        <v>45989</v>
      </c>
      <c r="B4" s="19">
        <v>1515915</v>
      </c>
      <c r="C4" s="19" t="s">
        <v>153</v>
      </c>
      <c r="D4" s="20" t="s">
        <v>287</v>
      </c>
      <c r="E4" s="20" t="s">
        <v>288</v>
      </c>
      <c r="F4" s="13"/>
      <c r="G4" s="25"/>
      <c r="H4" s="19" t="s">
        <v>289</v>
      </c>
      <c r="I4" s="13"/>
    </row>
    <row r="5" spans="1:9" ht="29.25">
      <c r="A5" s="23">
        <v>46009</v>
      </c>
      <c r="B5" s="18" t="s">
        <v>290</v>
      </c>
      <c r="C5" s="19" t="s">
        <v>153</v>
      </c>
      <c r="D5" s="20" t="s">
        <v>291</v>
      </c>
      <c r="E5" s="20" t="s">
        <v>292</v>
      </c>
      <c r="F5" s="13"/>
      <c r="G5" s="25"/>
      <c r="H5" s="19" t="s">
        <v>86</v>
      </c>
      <c r="I5" s="13"/>
    </row>
    <row r="6" spans="1:9">
      <c r="A6" s="21">
        <v>46084</v>
      </c>
      <c r="B6" s="19"/>
      <c r="C6" s="19" t="s">
        <v>293</v>
      </c>
      <c r="D6" s="20" t="s">
        <v>294</v>
      </c>
      <c r="E6" s="20"/>
      <c r="F6" s="13"/>
      <c r="G6" s="25"/>
      <c r="H6" s="19"/>
    </row>
    <row r="7" spans="1:9">
      <c r="A7" s="21">
        <v>46084</v>
      </c>
      <c r="B7" s="19">
        <v>1566648</v>
      </c>
      <c r="C7" s="19" t="s">
        <v>293</v>
      </c>
      <c r="D7" s="20" t="s">
        <v>295</v>
      </c>
      <c r="E7" s="20"/>
      <c r="F7" s="13"/>
      <c r="G7" s="25"/>
      <c r="H7" s="19" t="s">
        <v>86</v>
      </c>
    </row>
    <row r="8" spans="1:9" ht="29.25">
      <c r="A8" s="21">
        <v>46084</v>
      </c>
      <c r="B8" s="19">
        <v>1566647</v>
      </c>
      <c r="C8" s="19" t="s">
        <v>293</v>
      </c>
      <c r="D8" s="20" t="s">
        <v>296</v>
      </c>
      <c r="E8" s="20"/>
      <c r="F8" s="13"/>
      <c r="G8" s="25"/>
      <c r="H8" s="19" t="s">
        <v>86</v>
      </c>
    </row>
    <row r="9" spans="1:9" ht="29.25">
      <c r="A9" s="21">
        <v>46085</v>
      </c>
      <c r="B9" s="19">
        <v>1568017</v>
      </c>
      <c r="C9" s="19" t="s">
        <v>293</v>
      </c>
      <c r="D9" s="20" t="s">
        <v>297</v>
      </c>
      <c r="E9" s="20"/>
      <c r="F9" s="13"/>
      <c r="G9" s="25"/>
      <c r="H9" s="19" t="s">
        <v>86</v>
      </c>
    </row>
    <row r="10" spans="1:9">
      <c r="A10" s="21">
        <v>46076</v>
      </c>
      <c r="B10" s="19">
        <v>1561920</v>
      </c>
      <c r="C10" s="19" t="s">
        <v>34</v>
      </c>
      <c r="D10" s="20" t="s">
        <v>298</v>
      </c>
      <c r="E10" s="20" t="s">
        <v>299</v>
      </c>
      <c r="F10" s="13"/>
      <c r="G10" s="25"/>
      <c r="H10" s="19" t="s">
        <v>279</v>
      </c>
    </row>
    <row r="11" spans="1:9" ht="29.25">
      <c r="A11" s="21">
        <v>46078</v>
      </c>
      <c r="B11" s="19">
        <v>1547896</v>
      </c>
      <c r="C11" s="19" t="s">
        <v>293</v>
      </c>
      <c r="D11" s="20" t="s">
        <v>300</v>
      </c>
      <c r="E11" s="20"/>
      <c r="F11" s="13"/>
      <c r="G11" s="25"/>
      <c r="H11" s="19" t="s">
        <v>279</v>
      </c>
    </row>
    <row r="12" spans="1:9" ht="29.25">
      <c r="A12" s="21">
        <v>46092</v>
      </c>
      <c r="B12" s="24" t="s">
        <v>301</v>
      </c>
      <c r="C12" s="19" t="s">
        <v>46</v>
      </c>
      <c r="D12" s="20" t="s">
        <v>298</v>
      </c>
      <c r="E12" s="20"/>
      <c r="F12" s="13"/>
      <c r="G12" s="25"/>
      <c r="H12" s="19" t="s">
        <v>279</v>
      </c>
    </row>
    <row r="13" spans="1:9" ht="87">
      <c r="A13" s="21">
        <v>46094</v>
      </c>
      <c r="B13" s="19">
        <v>1575244</v>
      </c>
      <c r="C13" s="19" t="s">
        <v>293</v>
      </c>
      <c r="D13" s="20" t="s">
        <v>302</v>
      </c>
      <c r="E13" s="20" t="s">
        <v>303</v>
      </c>
      <c r="F13" s="13"/>
      <c r="G13" s="12" t="s">
        <v>304</v>
      </c>
      <c r="H13" s="19" t="s">
        <v>279</v>
      </c>
    </row>
    <row r="14" spans="1:9" ht="29.25">
      <c r="A14" s="21">
        <v>46092</v>
      </c>
      <c r="B14" s="19">
        <v>1573122</v>
      </c>
      <c r="C14" s="19" t="s">
        <v>305</v>
      </c>
      <c r="D14" s="20" t="s">
        <v>306</v>
      </c>
      <c r="E14" s="20"/>
      <c r="F14" s="13" t="s">
        <v>307</v>
      </c>
      <c r="G14" s="25"/>
      <c r="H14" s="19" t="s">
        <v>86</v>
      </c>
    </row>
    <row r="15" spans="1:9">
      <c r="A15" s="21">
        <v>46092</v>
      </c>
      <c r="B15" s="19">
        <v>1573080</v>
      </c>
      <c r="C15" s="19" t="s">
        <v>305</v>
      </c>
      <c r="D15" s="20" t="s">
        <v>308</v>
      </c>
      <c r="E15" s="20"/>
      <c r="F15" s="13" t="s">
        <v>307</v>
      </c>
      <c r="G15" s="25"/>
      <c r="H15" s="19" t="s">
        <v>86</v>
      </c>
    </row>
    <row r="16" spans="1:9">
      <c r="A16" s="21"/>
      <c r="B16" s="19"/>
      <c r="C16" s="19"/>
      <c r="D16" s="20"/>
      <c r="E16" s="20"/>
      <c r="F16" s="13"/>
      <c r="G16" s="25"/>
      <c r="H16" s="19"/>
    </row>
  </sheetData>
  <hyperlinks>
    <hyperlink ref="G3" r:id="rId1" location="details" xr:uid="{D203F994-5693-4E53-8FE9-1B4549AF73BA}"/>
    <hyperlink ref="B5" r:id="rId2" xr:uid="{4F1C0A3F-CAF3-4710-B0C0-8C6C46C86ECA}"/>
    <hyperlink ref="G13" r:id="rId3" xr:uid="{8EAABA87-A0E6-45A7-866B-8CBE60C5CE2E}"/>
  </hyperlinks>
  <pageMargins left="0.7" right="0.7" top="0.75" bottom="0.75" header="0.3" footer="0.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0245A-7812-4EB6-BA47-30E69C300AF1}">
  <dimension ref="A1:B19"/>
  <sheetViews>
    <sheetView workbookViewId="0">
      <selection activeCell="B13" sqref="B13"/>
    </sheetView>
  </sheetViews>
  <sheetFormatPr defaultRowHeight="15"/>
  <cols>
    <col min="1" max="1" width="35" customWidth="1"/>
    <col min="2" max="2" width="56.28515625" bestFit="1" customWidth="1"/>
  </cols>
  <sheetData>
    <row r="1" spans="1:2">
      <c r="A1" s="61" t="s">
        <v>309</v>
      </c>
      <c r="B1" s="61" t="s">
        <v>310</v>
      </c>
    </row>
    <row r="2" spans="1:2">
      <c r="A2" s="62" t="s">
        <v>311</v>
      </c>
      <c r="B2" s="62" t="s">
        <v>312</v>
      </c>
    </row>
    <row r="3" spans="1:2">
      <c r="A3" s="62" t="s">
        <v>313</v>
      </c>
      <c r="B3" s="62" t="s">
        <v>314</v>
      </c>
    </row>
    <row r="4" spans="1:2">
      <c r="A4" s="62" t="s">
        <v>315</v>
      </c>
      <c r="B4" s="62" t="s">
        <v>316</v>
      </c>
    </row>
    <row r="5" spans="1:2">
      <c r="A5" s="62" t="s">
        <v>317</v>
      </c>
      <c r="B5" s="62" t="s">
        <v>318</v>
      </c>
    </row>
    <row r="6" spans="1:2">
      <c r="A6" s="62" t="s">
        <v>319</v>
      </c>
      <c r="B6" s="62" t="s">
        <v>320</v>
      </c>
    </row>
    <row r="7" spans="1:2">
      <c r="A7" s="63"/>
      <c r="B7" s="62" t="s">
        <v>321</v>
      </c>
    </row>
    <row r="8" spans="1:2">
      <c r="A8" s="63"/>
      <c r="B8" s="62" t="s">
        <v>322</v>
      </c>
    </row>
    <row r="9" spans="1:2">
      <c r="A9" s="61" t="s">
        <v>323</v>
      </c>
      <c r="B9" s="62" t="s">
        <v>324</v>
      </c>
    </row>
    <row r="10" spans="1:2">
      <c r="A10" s="62" t="s">
        <v>325</v>
      </c>
      <c r="B10" s="62" t="s">
        <v>326</v>
      </c>
    </row>
    <row r="11" spans="1:2">
      <c r="A11" s="62" t="s">
        <v>327</v>
      </c>
      <c r="B11" s="62" t="s">
        <v>328</v>
      </c>
    </row>
    <row r="12" spans="1:2">
      <c r="A12" s="62" t="s">
        <v>329</v>
      </c>
      <c r="B12" s="62" t="s">
        <v>330</v>
      </c>
    </row>
    <row r="13" spans="1:2" ht="15.75">
      <c r="A13" s="62" t="s">
        <v>331</v>
      </c>
      <c r="B13" s="73" t="s">
        <v>332</v>
      </c>
    </row>
    <row r="14" spans="1:2">
      <c r="A14" s="63"/>
      <c r="B14" s="63"/>
    </row>
    <row r="15" spans="1:2">
      <c r="A15" s="61" t="s">
        <v>333</v>
      </c>
      <c r="B15" s="63"/>
    </row>
    <row r="16" spans="1:2">
      <c r="A16" s="62" t="s">
        <v>334</v>
      </c>
      <c r="B16" s="63"/>
    </row>
    <row r="17" spans="1:2">
      <c r="A17" s="62" t="s">
        <v>335</v>
      </c>
      <c r="B17" s="63"/>
    </row>
    <row r="18" spans="1:2">
      <c r="A18" s="62" t="s">
        <v>336</v>
      </c>
      <c r="B18" s="63"/>
    </row>
    <row r="19" spans="1:2">
      <c r="A19" s="62" t="s">
        <v>337</v>
      </c>
      <c r="B19" s="63"/>
    </row>
  </sheetData>
  <hyperlinks>
    <hyperlink ref="A2" r:id="rId1" location="/?_g=(filters:!(),refreshInterval:(pause:!t,value:0),time:(from:%272026-04-20T17:00:00.000Z%27,to:now))&amp;_a=(columns:!(message,op_pod),dataSource:(dataViewId:c2f21928-ed47-5902-9760-0b06130933dd,type:dataView),filters:!((%27$state%27:(store:appState),meta:(alias:!n,disabled:!f,index:%277856c9f0-d8a4-11e8-8145-97341d590824%27,key:host_beats_data.ip,negate:!f,params:(query:%2710.12.1.14%27),type:phrase),query:(match_phrase:(host_beats_data.ip:%2710.12.1.14%27)))),hideChart:!f,interval:auto,query:(language:kuery,query:%27Global%20%27),sort:!(!(%27@timestamp%27,desc)))" xr:uid="{6A13746D-B3C6-4DF2-A7C0-21638EF6B8F0}"/>
    <hyperlink ref="A3" r:id="rId2" location="/?_g=(filters:!(),refreshInterval:(pause:!t,value:0),time:(from:now-30d,to:now))&amp;_a=(columns:!(message),dataSource:(dataViewId:'logs-*',type:dataView),filters:!(('$state':(store:appState),meta:(alias:!n,disabled:!f,field:kubernetes.namespace,index:'logs-*',key:kubernetes.namespace,negate:!f,params:(query:gestion-catalogo-xroad-back),type:phrase),query:(match_phrase:(kubernetes.namespace:gestion-catalogo-xroad-back))),('$state':(store:appState),meta:(alias:!n,disabled:!f,index:'2a30c536-bb07-5ef4-b3e4-be72e61e1e7e',key:op_cluster,negate:!f,params:(query:prodext),type:phrase),query:(match_phrase:(op_cluster:prodext)))),hideChart:!f,interval:auto,query:(language:kuery,query:''),sort:!(!('@timestamp',desc)))" xr:uid="{A21246D4-4207-450D-8A4E-F22855E900BF}"/>
    <hyperlink ref="A6" r:id="rId3" location="/view/6f9c1660-66e0-52e3-8e7e-e68b89acfb43?_g=(filters:!(),refreshInterval:(pause:!t,value:0),time:(from:now%2Fw,to:now%2Fw))&amp;_a=(columns:!(message,op_pod),dataSource:(dataViewId:'2a30c536-bb07-5ef4-b3e4-be72e61e1e7e',type:dataView),filters:!(('$state':(store:appState),meta:(alias:!n,disabled:!f,index:e618c1f0-04c6-11eb-986d-f38333d6d7b8,key:op_namespace,negate:!f,params:(query:gestion-catalogo-xroad-back),type:phrase),query:(match_phrase:(op_namespace:gestion-catalogo-xroad-back))),('$state':(store:appState),meta:(alias:!n,disabled:!f,index:e618c1f0-04c6-11eb-986d-f38333d6d7b8,key:op_cluster,negate:!f,params:(query:hml),type:phrase),query:(match_phrase:(op_cluster:hml)))),grid:(),hideChart:!f,interval:auto,query:(language:kuery,query:''),sort:!(!('@timestamp',desc)))" xr:uid="{48C2054D-07B7-47C4-9FAE-35AA66A48405}"/>
    <hyperlink ref="A10" r:id="rId4" xr:uid="{3CA80E07-877F-42E5-89E4-A1C501C1EB5F}"/>
    <hyperlink ref="A11" r:id="rId5" xr:uid="{973FA06F-3B8E-4740-867E-4B5785E1C08A}"/>
    <hyperlink ref="A12" r:id="rId6" xr:uid="{F3FEFDFB-DE05-4EC3-8208-F5A4C63F18F5}"/>
    <hyperlink ref="A13" r:id="rId7" xr:uid="{AFB5BB9C-1BFE-402C-9E5C-B9270F9E1C57}"/>
    <hyperlink ref="A16" r:id="rId8" xr:uid="{BE43CB57-4454-46B7-97CF-27A2E6BF3DA5}"/>
    <hyperlink ref="A17" r:id="rId9" xr:uid="{0404EB48-5376-4F69-9EB9-0BDDD563E5AA}"/>
    <hyperlink ref="A18" r:id="rId10" xr:uid="{BFE3BBBF-727B-4B9E-92FD-DAC22E2571A4}"/>
    <hyperlink ref="A19" r:id="rId11" xr:uid="{6EF7CE75-3FF4-448D-875C-02DF92D5192C}"/>
    <hyperlink ref="A5" r:id="rId12" xr:uid="{6B67DBDD-180C-41B6-AE51-6295213B17DF}"/>
    <hyperlink ref="A4" r:id="rId13" xr:uid="{DB0EBC44-BE9F-4376-82CE-8741393A1D99}"/>
    <hyperlink ref="B2" r:id="rId14" xr:uid="{CA415DED-CF62-4E1F-BF38-722679B6E5AE}"/>
    <hyperlink ref="B3" r:id="rId15" xr:uid="{8F344265-E41C-4B9C-9A8B-F4EDE6DEB810}"/>
    <hyperlink ref="B4" r:id="rId16" xr:uid="{C4D94A44-8E9A-428D-AFE7-61145BDF5361}"/>
    <hyperlink ref="B5" r:id="rId17" xr:uid="{C9CC096F-7F16-4E26-B186-4AADE9D0E6D7}"/>
    <hyperlink ref="B6" r:id="rId18" xr:uid="{8B71C816-5C82-4544-B160-BD24113A8561}"/>
    <hyperlink ref="B7" r:id="rId19" xr:uid="{8863153F-BC9F-46A9-8552-9EA1238D233F}"/>
    <hyperlink ref="B8" r:id="rId20" xr:uid="{4F71235A-9988-4084-98BE-C4F817FE407E}"/>
    <hyperlink ref="B9" r:id="rId21" xr:uid="{92BFA9EC-EB47-468E-8086-1E1267F67293}"/>
    <hyperlink ref="B10" r:id="rId22" xr:uid="{ABB6E4EC-723D-48BD-B7E2-8D350BD3A673}"/>
    <hyperlink ref="B11" r:id="rId23" xr:uid="{14991ECA-D546-47E7-9E57-A17F07898050}"/>
    <hyperlink ref="B12" r:id="rId24" display="Reporte PRTG e Ingesta_2026-06-09.xlsx" xr:uid="{DD8A3360-8353-457E-8EBC-A02620173E8F}"/>
    <hyperlink ref="B13" r:id="rId25" xr:uid="{FE5A7E9E-EC3A-4E7B-BA4C-E3E555F45D8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B4A74-62DC-4AEE-888B-51B5CE2B5425}">
  <dimension ref="A1:B10"/>
  <sheetViews>
    <sheetView workbookViewId="0">
      <selection activeCell="B11" sqref="B11"/>
    </sheetView>
  </sheetViews>
  <sheetFormatPr defaultRowHeight="15"/>
  <cols>
    <col min="1" max="1" width="73.140625" bestFit="1" customWidth="1"/>
    <col min="2" max="2" width="73.85546875" customWidth="1"/>
  </cols>
  <sheetData>
    <row r="1" spans="1:2">
      <c r="A1" t="s">
        <v>5</v>
      </c>
      <c r="B1" t="s">
        <v>6</v>
      </c>
    </row>
    <row r="2" spans="1:2" ht="15.75">
      <c r="A2" s="71" t="s">
        <v>338</v>
      </c>
      <c r="B2" s="72" t="s">
        <v>339</v>
      </c>
    </row>
    <row r="3" spans="1:2" ht="15.75">
      <c r="A3" s="71" t="s">
        <v>340</v>
      </c>
      <c r="B3" s="72" t="s">
        <v>341</v>
      </c>
    </row>
    <row r="4" spans="1:2" ht="15.75">
      <c r="A4" s="71" t="s">
        <v>342</v>
      </c>
      <c r="B4" s="72" t="s">
        <v>343</v>
      </c>
    </row>
    <row r="5" spans="1:2" ht="15.75">
      <c r="A5" s="71" t="s">
        <v>344</v>
      </c>
      <c r="B5" s="72" t="s">
        <v>345</v>
      </c>
    </row>
    <row r="6" spans="1:2" ht="15.75">
      <c r="A6" s="71" t="s">
        <v>346</v>
      </c>
      <c r="B6" s="72"/>
    </row>
    <row r="7" spans="1:2" ht="15.75">
      <c r="A7" s="71" t="s">
        <v>347</v>
      </c>
      <c r="B7" s="72" t="s">
        <v>348</v>
      </c>
    </row>
    <row r="8" spans="1:2" ht="15.75">
      <c r="A8" s="71" t="s">
        <v>349</v>
      </c>
      <c r="B8" s="72" t="s">
        <v>350</v>
      </c>
    </row>
    <row r="9" spans="1:2" ht="15.75">
      <c r="A9" s="71" t="s">
        <v>351</v>
      </c>
      <c r="B9" s="72" t="s">
        <v>352</v>
      </c>
    </row>
    <row r="10" spans="1:2" ht="15.75">
      <c r="A10" s="71" t="s">
        <v>353</v>
      </c>
      <c r="B10" s="72" t="s">
        <v>354</v>
      </c>
    </row>
  </sheetData>
  <hyperlinks>
    <hyperlink ref="A3" r:id="rId1" xr:uid="{DC49C17F-7BB9-4FF2-89EA-BED3E69A185D}"/>
    <hyperlink ref="A2" r:id="rId2" xr:uid="{735BCEDB-AAFC-496E-AA9A-D8852288CB9B}"/>
    <hyperlink ref="A4" r:id="rId3" xr:uid="{5BFD859E-2165-48B2-B2AF-FCA9533D9F75}"/>
    <hyperlink ref="A5" r:id="rId4" xr:uid="{B54E94AD-C2E9-4ED5-9209-CB8B6AA877C1}"/>
    <hyperlink ref="A6" r:id="rId5" xr:uid="{494C1720-F1A5-4A53-B40F-1E229EC245DC}"/>
    <hyperlink ref="A7" r:id="rId6" xr:uid="{76FC619A-A70D-4156-A1D0-92612C8B4381}"/>
    <hyperlink ref="A8" r:id="rId7" xr:uid="{19C7A97D-352F-4D01-92CC-43855A71BD54}"/>
    <hyperlink ref="A9" r:id="rId8" xr:uid="{70354694-5596-4C56-8FE8-57DEBF8A5AFC}"/>
    <hyperlink ref="A10" r:id="rId9" xr:uid="{A898755E-1857-472A-A2B1-94FC76DC1918}"/>
  </hyperlinks>
  <pageMargins left="0.7" right="0.7" top="0.75" bottom="0.75" header="0.3" footer="0.3"/>
  <tableParts count="1">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072FC-CA85-4E2C-B578-AD973E6945A9}">
  <dimension ref="A1:L17"/>
  <sheetViews>
    <sheetView topLeftCell="A7" workbookViewId="0">
      <selection activeCell="G10" sqref="G10"/>
    </sheetView>
  </sheetViews>
  <sheetFormatPr defaultRowHeight="15"/>
  <cols>
    <col min="1" max="1" width="28.140625" style="6" customWidth="1"/>
    <col min="2" max="2" width="19.140625" customWidth="1"/>
    <col min="3" max="3" width="21.7109375" customWidth="1"/>
    <col min="4" max="4" width="33.5703125" customWidth="1"/>
    <col min="5" max="5" width="39.5703125" customWidth="1"/>
    <col min="6" max="6" width="19" customWidth="1"/>
    <col min="7" max="7" width="17.42578125" customWidth="1"/>
    <col min="8" max="8" width="18.42578125" customWidth="1"/>
    <col min="9" max="9" width="19.140625" customWidth="1"/>
  </cols>
  <sheetData>
    <row r="1" spans="1:10">
      <c r="A1" s="16" t="s">
        <v>266</v>
      </c>
      <c r="B1" s="14" t="s">
        <v>267</v>
      </c>
      <c r="C1" s="14" t="s">
        <v>268</v>
      </c>
      <c r="D1" s="14" t="s">
        <v>269</v>
      </c>
      <c r="E1" s="14" t="s">
        <v>270</v>
      </c>
      <c r="F1" s="14" t="s">
        <v>271</v>
      </c>
      <c r="G1" s="14" t="s">
        <v>272</v>
      </c>
      <c r="H1" s="14" t="s">
        <v>273</v>
      </c>
      <c r="I1" s="14" t="s">
        <v>274</v>
      </c>
    </row>
    <row r="2" spans="1:10">
      <c r="A2" s="17">
        <v>45698</v>
      </c>
      <c r="B2" s="18" t="s">
        <v>355</v>
      </c>
      <c r="C2" s="19" t="s">
        <v>46</v>
      </c>
      <c r="D2" s="20" t="s">
        <v>356</v>
      </c>
      <c r="E2" s="20" t="s">
        <v>357</v>
      </c>
      <c r="F2" s="20"/>
      <c r="H2" s="29"/>
    </row>
    <row r="3" spans="1:10" ht="29.25">
      <c r="A3" s="21">
        <v>45698</v>
      </c>
      <c r="B3" s="22" t="s">
        <v>358</v>
      </c>
      <c r="C3" s="19" t="s">
        <v>13</v>
      </c>
      <c r="D3" s="20" t="s">
        <v>359</v>
      </c>
      <c r="E3" s="20" t="s">
        <v>360</v>
      </c>
      <c r="F3" s="20"/>
      <c r="H3" s="29"/>
    </row>
    <row r="4" spans="1:10" ht="87">
      <c r="A4" s="21">
        <v>45814</v>
      </c>
      <c r="B4" s="22">
        <v>1408359</v>
      </c>
      <c r="C4" s="19" t="s">
        <v>361</v>
      </c>
      <c r="D4" s="20" t="s">
        <v>362</v>
      </c>
      <c r="E4" s="20" t="s">
        <v>363</v>
      </c>
      <c r="F4" s="20"/>
      <c r="G4" s="11" t="s">
        <v>364</v>
      </c>
      <c r="H4" s="29"/>
    </row>
    <row r="5" spans="1:10" ht="43.5">
      <c r="A5" s="21">
        <v>46087</v>
      </c>
      <c r="B5" s="19">
        <v>1569667</v>
      </c>
      <c r="C5" s="19" t="s">
        <v>293</v>
      </c>
      <c r="D5" s="20" t="s">
        <v>365</v>
      </c>
      <c r="E5" s="20" t="s">
        <v>366</v>
      </c>
      <c r="F5" s="20"/>
      <c r="H5" s="29"/>
    </row>
    <row r="6" spans="1:10" ht="29.25">
      <c r="A6" s="21">
        <v>46084</v>
      </c>
      <c r="B6" s="19">
        <v>1567154</v>
      </c>
      <c r="C6" s="19" t="s">
        <v>293</v>
      </c>
      <c r="D6" s="20" t="s">
        <v>367</v>
      </c>
      <c r="E6" s="20"/>
      <c r="F6" s="20"/>
      <c r="H6" s="29" t="s">
        <v>86</v>
      </c>
    </row>
    <row r="7" spans="1:10" ht="101.25">
      <c r="A7" s="21">
        <v>46093</v>
      </c>
      <c r="B7" s="19">
        <v>1574961</v>
      </c>
      <c r="C7" s="19" t="s">
        <v>293</v>
      </c>
      <c r="D7" s="20" t="s">
        <v>368</v>
      </c>
      <c r="E7" s="20" t="s">
        <v>369</v>
      </c>
      <c r="F7" s="20" t="s">
        <v>370</v>
      </c>
      <c r="G7" s="30" t="s">
        <v>371</v>
      </c>
      <c r="H7" s="29" t="s">
        <v>86</v>
      </c>
    </row>
    <row r="8" spans="1:10" ht="101.25">
      <c r="A8" s="21">
        <v>46093</v>
      </c>
      <c r="B8" s="19">
        <v>1574571</v>
      </c>
      <c r="C8" s="19" t="s">
        <v>293</v>
      </c>
      <c r="D8" s="20" t="s">
        <v>372</v>
      </c>
      <c r="E8" s="20" t="s">
        <v>373</v>
      </c>
      <c r="F8" s="20"/>
      <c r="G8" s="30" t="s">
        <v>374</v>
      </c>
      <c r="H8" s="29"/>
    </row>
    <row r="9" spans="1:10" ht="29.25">
      <c r="A9" s="21">
        <v>46092</v>
      </c>
      <c r="B9" s="19">
        <v>1573039</v>
      </c>
      <c r="C9" s="19" t="s">
        <v>46</v>
      </c>
      <c r="D9" s="20" t="s">
        <v>375</v>
      </c>
      <c r="E9" s="13" t="s">
        <v>376</v>
      </c>
      <c r="F9" s="20"/>
      <c r="H9" s="29" t="s">
        <v>86</v>
      </c>
    </row>
    <row r="10" spans="1:10" ht="101.25">
      <c r="A10" s="21">
        <v>46092</v>
      </c>
      <c r="B10" s="19">
        <v>1573366</v>
      </c>
      <c r="C10" s="19" t="s">
        <v>305</v>
      </c>
      <c r="D10" s="20" t="s">
        <v>377</v>
      </c>
      <c r="E10" s="20"/>
      <c r="F10" s="20" t="s">
        <v>378</v>
      </c>
      <c r="G10" s="30" t="s">
        <v>379</v>
      </c>
      <c r="H10" s="29" t="s">
        <v>86</v>
      </c>
    </row>
    <row r="11" spans="1:10">
      <c r="A11" s="23">
        <v>46129.620138888888</v>
      </c>
      <c r="B11" s="19">
        <v>1597926</v>
      </c>
      <c r="C11" s="19" t="s">
        <v>305</v>
      </c>
      <c r="D11" s="59" t="s">
        <v>380</v>
      </c>
      <c r="E11" s="13" t="s">
        <v>381</v>
      </c>
      <c r="F11" s="13" t="s">
        <v>382</v>
      </c>
      <c r="G11" s="60" t="s">
        <v>383</v>
      </c>
      <c r="H11" s="29" t="s">
        <v>86</v>
      </c>
    </row>
    <row r="16" spans="1:10">
      <c r="B16" s="4"/>
      <c r="C16" s="4">
        <v>45925</v>
      </c>
      <c r="D16" s="2">
        <v>1475238</v>
      </c>
      <c r="E16" s="2" t="s">
        <v>13</v>
      </c>
      <c r="F16" s="2" t="s">
        <v>144</v>
      </c>
      <c r="G16" t="s">
        <v>145</v>
      </c>
      <c r="J16" s="3" t="s">
        <v>146</v>
      </c>
    </row>
    <row r="17" spans="2:12">
      <c r="B17" s="7">
        <v>45944</v>
      </c>
      <c r="C17" s="7">
        <v>45951</v>
      </c>
      <c r="D17" s="9">
        <v>1489741</v>
      </c>
      <c r="E17" s="9" t="s">
        <v>153</v>
      </c>
      <c r="F17" s="9" t="s">
        <v>154</v>
      </c>
      <c r="G17" s="8" t="s">
        <v>155</v>
      </c>
      <c r="H17" s="8" t="s">
        <v>156</v>
      </c>
      <c r="I17" s="8"/>
      <c r="J17" s="10" t="s">
        <v>157</v>
      </c>
      <c r="K17" s="8" t="s">
        <v>22</v>
      </c>
      <c r="L17" s="8" t="s">
        <v>158</v>
      </c>
    </row>
  </sheetData>
  <dataValidations count="1">
    <dataValidation type="list" showInputMessage="1" showErrorMessage="1" sqref="H2:H11" xr:uid="{0312E02D-E905-4C40-BF24-C5E9B7A26BA7}">
      <formula1>"Abierto,En espera,En progreso,Resuelto"</formula1>
    </dataValidation>
  </dataValidations>
  <hyperlinks>
    <hyperlink ref="A2" r:id="rId1" display="APPXROAD-1294" xr:uid="{5DEC7765-E503-4235-9C07-AFA9717491A3}"/>
    <hyperlink ref="B2" r:id="rId2" xr:uid="{DD761CC3-64C1-49E8-A105-240B965BBB07}"/>
    <hyperlink ref="B3" r:id="rId3" display="#56515 creada." xr:uid="{C2E62EA3-355C-4282-AC74-5872F9519207}"/>
    <hyperlink ref="B4" r:id="rId4" display="https://noc-mesa.buenosaires.gob.ar/WorkOrder.do?woMode=viewWO&amp;woID=1408359" xr:uid="{BA768F06-826F-4E6E-A21F-2E81B6D31FDC}"/>
    <hyperlink ref="G4" r:id="rId5" xr:uid="{2ABFAEBE-63F9-4FD6-8E72-490E3EF246C5}"/>
    <hyperlink ref="J16" r:id="rId6" xr:uid="{6D379B5E-2A58-4499-9FBE-A6943DAE9478}"/>
    <hyperlink ref="J17" r:id="rId7" xr:uid="{95C95746-1D66-4F0C-8861-FE5E0A57F046}"/>
    <hyperlink ref="G7" r:id="rId8" xr:uid="{0D75290B-3732-4781-9009-8FC63D760C08}"/>
    <hyperlink ref="G8" r:id="rId9" xr:uid="{88C8D96E-7F03-4EA5-A461-99DE4A74FA2A}"/>
    <hyperlink ref="G10" r:id="rId10" xr:uid="{827C30E9-9EEC-43EA-8442-0E00A7A01621}"/>
    <hyperlink ref="G11" r:id="rId11" xr:uid="{DADA230E-5239-477A-864C-CAFE4990AD80}"/>
  </hyperlinks>
  <pageMargins left="0.7" right="0.7" top="0.75" bottom="0.75" header="0.3" footer="0.3"/>
  <tableParts count="1">
    <tablePart r:id="rId1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1627ce1-e623-4b42-b16d-c86abe97e6fc">
      <Terms xmlns="http://schemas.microsoft.com/office/infopath/2007/PartnerControls"/>
    </lcf76f155ced4ddcb4097134ff3c332f>
    <TaxCatchAll xmlns="945a2942-790c-4c33-ab54-a83dafc1d4b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C06510959817454A97BDFF19B817DA23" ma:contentTypeVersion="12" ma:contentTypeDescription="Crear nuevo documento." ma:contentTypeScope="" ma:versionID="db12e0f9b54a91f5335985d0805076fd">
  <xsd:schema xmlns:xsd="http://www.w3.org/2001/XMLSchema" xmlns:xs="http://www.w3.org/2001/XMLSchema" xmlns:p="http://schemas.microsoft.com/office/2006/metadata/properties" xmlns:ns2="11627ce1-e623-4b42-b16d-c86abe97e6fc" xmlns:ns3="945a2942-790c-4c33-ab54-a83dafc1d4b0" targetNamespace="http://schemas.microsoft.com/office/2006/metadata/properties" ma:root="true" ma:fieldsID="e6a0654b95d27363bfdc0194d06e4d7b" ns2:_="" ns3:_="">
    <xsd:import namespace="11627ce1-e623-4b42-b16d-c86abe97e6fc"/>
    <xsd:import namespace="945a2942-790c-4c33-ab54-a83dafc1d4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627ce1-e623-4b42-b16d-c86abe97e6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8d1465ab-4155-4cd7-b73d-6f8e176f7206"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45a2942-790c-4c33-ab54-a83dafc1d4b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5a5d85a-373a-4fe3-8b4f-97af5c0bc85c}" ma:internalName="TaxCatchAll" ma:showField="CatchAllData" ma:web="945a2942-790c-4c33-ab54-a83dafc1d4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C4B5E4-176B-43D7-A905-AD92FAB52CE6}"/>
</file>

<file path=customXml/itemProps2.xml><?xml version="1.0" encoding="utf-8"?>
<ds:datastoreItem xmlns:ds="http://schemas.openxmlformats.org/officeDocument/2006/customXml" ds:itemID="{C703DBF3-7E3D-4F10-A184-AB5B58554CDB}"/>
</file>

<file path=customXml/itemProps3.xml><?xml version="1.0" encoding="utf-8"?>
<ds:datastoreItem xmlns:ds="http://schemas.openxmlformats.org/officeDocument/2006/customXml" ds:itemID="{166AFF5E-EBB6-4F60-B436-4AF2B23D2AD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2025-01-23T20:24:07Z</dcterms:created>
  <dcterms:modified xsi:type="dcterms:W3CDTF">2026-07-13T15:49:12Z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0x010100C06510959817454A97BDFF19B817DA23</vt:lpwstr>
  </property>
  <property fmtid="{D5CDD505-2E9C-101B-9397-08002B2CF9AE}" pid="3" name="MediaServiceImageTags">
    <vt:lpwstr/>
  </property>
</Properties>
</file>